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rlo\MEGA\ANALISIS Y DESARROLLO DE SOFTWARE 3228973 A\PORTAFOLIO_CARLOS YAYA _3228973 A\4 _ EVIDENCIAS_DE_APRENDIZAJE\FREDDY ARDILA\CUARTO TRIMESTRE\Entregables\"/>
    </mc:Choice>
  </mc:AlternateContent>
  <xr:revisionPtr revIDLastSave="0" documentId="13_ncr:1_{6FDA662E-4F1B-4B15-9EBE-9C27DC487172}" xr6:coauthVersionLast="47" xr6:coauthVersionMax="47" xr10:uidLastSave="{00000000-0000-0000-0000-000000000000}"/>
  <bookViews>
    <workbookView xWindow="-108" yWindow="-108" windowWidth="23256" windowHeight="14616" tabRatio="500" xr2:uid="{00000000-000D-0000-FFFF-FFFF00000000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3" i="1" l="1"/>
  <c r="G102" i="1"/>
  <c r="G104" i="1"/>
  <c r="G98" i="1" l="1"/>
  <c r="G99" i="1"/>
  <c r="G93" i="1"/>
  <c r="G92" i="1"/>
  <c r="H91" i="1"/>
  <c r="G91" i="1"/>
  <c r="G94" i="1" s="1"/>
  <c r="E89" i="1"/>
  <c r="C89" i="1"/>
  <c r="E88" i="1"/>
  <c r="D88" i="1"/>
  <c r="G85" i="1"/>
  <c r="G84" i="1"/>
  <c r="G83" i="1"/>
  <c r="G82" i="1"/>
  <c r="G81" i="1"/>
  <c r="G80" i="1"/>
  <c r="G79" i="1"/>
  <c r="G78" i="1"/>
  <c r="H77" i="1"/>
  <c r="G77" i="1"/>
  <c r="E75" i="1" s="1"/>
  <c r="D75" i="1"/>
  <c r="C75" i="1"/>
  <c r="E74" i="1"/>
  <c r="D74" i="1"/>
  <c r="G70" i="1"/>
  <c r="G71" i="1" s="1"/>
  <c r="G69" i="1"/>
  <c r="G68" i="1"/>
  <c r="G67" i="1"/>
  <c r="G66" i="1"/>
  <c r="G65" i="1"/>
  <c r="G64" i="1"/>
  <c r="H63" i="1"/>
  <c r="G63" i="1"/>
  <c r="C61" i="1"/>
  <c r="E61" i="1" s="1"/>
  <c r="E60" i="1"/>
  <c r="D60" i="1"/>
  <c r="G57" i="1"/>
  <c r="G56" i="1"/>
  <c r="G55" i="1"/>
  <c r="G54" i="1"/>
  <c r="G53" i="1"/>
  <c r="H52" i="1"/>
  <c r="G52" i="1"/>
  <c r="C50" i="1"/>
  <c r="E50" i="1" s="1"/>
  <c r="E49" i="1"/>
  <c r="D49" i="1"/>
  <c r="G45" i="1"/>
  <c r="G44" i="1"/>
  <c r="G43" i="1"/>
  <c r="G42" i="1"/>
  <c r="G41" i="1"/>
  <c r="D38" i="1" s="1"/>
  <c r="H40" i="1"/>
  <c r="G40" i="1"/>
  <c r="C38" i="1"/>
  <c r="E37" i="1"/>
  <c r="D37" i="1"/>
  <c r="G33" i="1"/>
  <c r="G32" i="1"/>
  <c r="G31" i="1"/>
  <c r="G30" i="1"/>
  <c r="G29" i="1"/>
  <c r="G28" i="1"/>
  <c r="G27" i="1"/>
  <c r="H26" i="1"/>
  <c r="G26" i="1"/>
  <c r="G34" i="1" s="1"/>
  <c r="C24" i="1"/>
  <c r="E24" i="1" s="1"/>
  <c r="E23" i="1"/>
  <c r="D23" i="1"/>
  <c r="G19" i="1"/>
  <c r="G18" i="1"/>
  <c r="H17" i="1"/>
  <c r="G17" i="1"/>
  <c r="G20" i="1" s="1"/>
  <c r="C15" i="1"/>
  <c r="E15" i="1" s="1"/>
  <c r="E14" i="1"/>
  <c r="D14" i="1"/>
  <c r="G11" i="1"/>
  <c r="G10" i="1"/>
  <c r="G9" i="1"/>
  <c r="G8" i="1"/>
  <c r="G7" i="1"/>
  <c r="G6" i="1"/>
  <c r="H5" i="1"/>
  <c r="G5" i="1"/>
  <c r="D3" i="1"/>
  <c r="C3" i="1"/>
  <c r="E3" i="1" s="1"/>
  <c r="E2" i="1"/>
  <c r="D2" i="1"/>
  <c r="D89" i="1" l="1"/>
  <c r="G46" i="1"/>
  <c r="D61" i="1"/>
  <c r="D50" i="1"/>
  <c r="D15" i="1"/>
  <c r="E38" i="1"/>
  <c r="D24" i="1"/>
  <c r="G100" i="1" l="1"/>
</calcChain>
</file>

<file path=xl/sharedStrings.xml><?xml version="1.0" encoding="utf-8"?>
<sst xmlns="http://schemas.openxmlformats.org/spreadsheetml/2006/main" count="149" uniqueCount="84">
  <si>
    <t>SPRINT 1</t>
  </si>
  <si>
    <t>Usuarios</t>
  </si>
  <si>
    <t>Semanas destinadas (1 mes - Presupuesto Punto 6.2)</t>
  </si>
  <si>
    <t>Capacidad del equipo (4 integrantes x 80 h - Presupuesto Punto 6.2)</t>
  </si>
  <si>
    <t>HISTORIA DE USUARIO</t>
  </si>
  <si>
    <t>PUNTAJE</t>
  </si>
  <si>
    <t>INTEGRANTES</t>
  </si>
  <si>
    <t>DÍAS DEDICADOS A LA HISTORIA</t>
  </si>
  <si>
    <t>HORAS DEL DÍA</t>
  </si>
  <si>
    <t>CAPACIDAD TOTAL (HORAS)</t>
  </si>
  <si>
    <t>VELOCIDAD</t>
  </si>
  <si>
    <t>H1 Como administrador quiero que el sistema cree el primer usuario como administrador total para que tenga control total sobre el proyecto</t>
  </si>
  <si>
    <t>H2 Como administrador total quiero que el sistema genere un proyecto inicial automaticamente</t>
  </si>
  <si>
    <t>H3 Como administrador total quiero que el sistema me permita registrar usuarios para ir creando y organizando el equipo</t>
  </si>
  <si>
    <t>H4 Como administrador total quiero que el sistema me permita eliminar usuarios para organizar el equipo</t>
  </si>
  <si>
    <t>H5 Como administrador total quiero que el sistema me permita editar usuarios para organizar el equipo</t>
  </si>
  <si>
    <t>H6 Como administrador total quiero que el sistema me permita selecionar usuarios para organizar el equipo</t>
  </si>
  <si>
    <t>Total horas estimadas del Sprint 1</t>
  </si>
  <si>
    <t>SPRINT 2</t>
  </si>
  <si>
    <t>Productos</t>
  </si>
  <si>
    <t>H1Como usuario quiero que se me notifique al correo cuando se fue creado un perfil para su pronta activacion.</t>
  </si>
  <si>
    <t>H2Como usuario quiero que al iniciar sesion me llegue un codigo al correo para tener seguridad en mi cuenta</t>
  </si>
  <si>
    <t>H3 Como administrador quiero que el sistema bloquee al usuario cuando se equivoca con la contraseña en mas de 3 oportunidades para tener seguridad en el acceso.</t>
  </si>
  <si>
    <t>Total horas estimadas del Sprint 2</t>
  </si>
  <si>
    <t>SPRINT 3</t>
  </si>
  <si>
    <t>H1 Como usuario autenticado quiero que el sistema valide mi rol antes de ejecutar una acción para garantizar acceso seguro según mis permisos</t>
  </si>
  <si>
    <t>H2 Como administrador quiero gestionar permisos por rol en los módulos del sistema para controlar las acciones disponibles de cada usuario</t>
  </si>
  <si>
    <t>H3 Como sistema quiero impedir la eliminación o modificación del último Administrador Total activo para garantizar la administración continua de la plataforma</t>
  </si>
  <si>
    <t>H4 Como usuario quiero que el sistema valide que mi contraseña cumpla los requisitos de seguridad establecidos para proteger mi cuenta y mi información</t>
  </si>
  <si>
    <t>H1 Como sistema quiero impedir la reutilización de las últimas 3 contraseñas y almacenar las nuevas contraseñas de forma segura con bcrypt para garantizar mayor seguridad de acceso</t>
  </si>
  <si>
    <t>H2 Como usuario quiero solicitar la recuperación de mi contraseña mediante mi correo registrado para volver a acceder a mi cuenta cuando la olvide</t>
  </si>
  <si>
    <t>H3 Como sistema quiero validar y actualizar de forma segura la nueva contraseña del usuario para proteger el acceso a la cuenta y cerrar todas las sesiones activas anteriores</t>
  </si>
  <si>
    <t>H4 Como usuario autenticado quiero actualizar mi información personal y preferencias de notificación para mantener mis datos y configuración al día</t>
  </si>
  <si>
    <t>Total horas estimadas del Sprint 3</t>
  </si>
  <si>
    <t>SPRINT 4</t>
  </si>
  <si>
    <t>Productos y Usuarios</t>
  </si>
  <si>
    <t>H1 Como usuario quiero subir una foto de perfil validada y optimizada automáticamente para mantener una imagen adecuada dentro del sistema</t>
  </si>
  <si>
    <t>H2 Como administrador total quiero que ciertos campos críticos del perfil solo puedan ser modificados por administradores para mantener el control y la seguridad de la información de los usuarios</t>
  </si>
  <si>
    <t>Como administrador del sistema, quiero consultar un historial de todas las acciones críticas que ocurren en la plataforma, para saber quién hizo qué y cuándo, sin depender de que alguien me lo reporte.</t>
  </si>
  <si>
    <t>Como sub admin, quiero ver el log de actividad de los usuarios que tenga a cargo, para  detectar comportamientos inusuales o accesos no autorizados dentro de mi proyecto</t>
  </si>
  <si>
    <t>Como usuario de cualquier rol, quiero que el sistema registre mis acciones automaticamente  sin que yo tenga que hacer nada, para que exista una trazabilidad y no interrumpla mi trabajo</t>
  </si>
  <si>
    <t>Como administrador, quiero que los logs mayores a 90 días se archiven solos y los de más de 15 meses se purguen automáticamente, para no llenar la base de datos con información que ya no se consulta seguido.</t>
  </si>
  <si>
    <t>Total horas estimadas del Sprint 4</t>
  </si>
  <si>
    <t>SPRINT 5</t>
  </si>
  <si>
    <t>Como onset, quiero que al subir una foto el sistema le ponga automaticamente una marca de agua con mi nombre (produccion), nombre (proyecto) y usuario de quien lo descarga, para que quede claro quien la tomo, sin que yo la tenga que editar</t>
  </si>
  <si>
    <t>Como onset, quiero que el sistema le ponga automáticamente una marca de agua con mi nombre y la hora a cada foto, para que quede claro quién la tomó y cuándo.</t>
  </si>
  <si>
    <t>Como administrador, quiero que el sistema controle automáticamente quién puede subir fotos según su rol, para que no cualquier usuario pueda cargar contenido sin autorización.</t>
  </si>
  <si>
    <t>Como onset, quiero que el sistema nombre las fotos automáticamente al subirlas y detecte si ya existe una igual para subirle la versión, para no tener que renombrar archivos a mano ni preocuparme por duplicados.</t>
  </si>
  <si>
    <t>Como onset, quiero ver las fotos que ya fueron cargadas por el equipo, para revisar la continuidad de las escenas sin riesgo de alterar nada</t>
  </si>
  <si>
    <t>Total horas estimadas del Sprint 5</t>
  </si>
  <si>
    <t>SPRINT 6</t>
  </si>
  <si>
    <t>Como onset, quiero buscar fotos rápidamente usando la escena y el personaje como filtros, para comparar la continuidad entre tomas sin perder tiempo.</t>
  </si>
  <si>
    <t>Como onset, quiero buscar fotos de mis escenas sin ver las de otros personajes, para revisar mi continuidad sin acceder a información que no me corresponde.</t>
  </si>
  <si>
    <t>Como administrador, quiero buscar fotos usando rangos de fechas o de escenas, para hacer revisiones de producción por bloques de rodaje sin buscar una por una.</t>
  </si>
  <si>
    <t>Como usuario, quiero poder cambiar entre vista de galería, lista y comparación en los resultados de búsqueda, para acomodar la pantalla según lo que necesite revisar en ese momento.</t>
  </si>
  <si>
    <t>Como Onset quiero que el sistema genere automáticamente el nombre de cada foto al subirla para no tener que renombrar archivos a mano</t>
  </si>
  <si>
    <t>Como Onset quiero que el sistema detecte si ya existe una foto con el mismo nombre y le suba la versión para no perder fotos anteriores</t>
  </si>
  <si>
    <t>Como administrador quiero que el nombre del archivo quede guardado en la base de datos para poder encontrar fotos fácilmente después</t>
  </si>
  <si>
    <t>Como Onset quiero que el sistema formatee los metadatos automáticamente para que todos los nombres queden consistentes sin importar quién suba la foto</t>
  </si>
  <si>
    <t>Total horas estimadas del Sprint 6</t>
  </si>
  <si>
    <t>SPRINT 7</t>
  </si>
  <si>
    <t>Usuarios y Productos</t>
  </si>
  <si>
    <t>H1 - Como usuario quiero seleccionar de 2 a 4 fotografías y verlas lado a lado con zoom sincronizado para detectar inconsistencias de continuidad entre tomas de una misma escena.</t>
  </si>
  <si>
    <t>H2 - Como usuario quiero exportar la comparación visual como PDF para adjuntarla a reportes de inconsistencias de continuidad.</t>
  </si>
  <si>
    <t>H3 - Como usuario quiero consultar el historial de cambios de estado de una fotografía para saber quién modificó el estado, cuándo lo hizo y qué descripción dejó en cada cambio.</t>
  </si>
  <si>
    <t>H1 - Como usuario quiero asignar un estado de continuidad (OK, Corregir) a cada fotografía para documentar si la toma cumple o no con la continuidad de la escena.</t>
  </si>
  <si>
    <t>H2 - Como usuario  quiero que al marcar una fotografía como "Corregir" se notifique automáticamente al jefe del departamento responsable para que corrija la inconsistencia lo antes posible.</t>
  </si>
  <si>
    <t>H3 - Como usuario quiero filtrar las fotografías por estado de continuidad (OK, Corregir) para identificar rápidamente cuáles tomas tienen problemas pendientes por resolver.</t>
  </si>
  <si>
    <t>H4 - Como usuario quiero que todas las fotografías y guiones que visualice tengan marca de agua dinámica superpuesta para proteger el contenido confidencial de la producción y garantizar trazabilidad.</t>
  </si>
  <si>
    <t>H5 - Como usuario quiero que el sistema bloquee las opciones de captura y descarga no autorizada para evitar filtraciones del material de la producción.</t>
  </si>
  <si>
    <t>Total horas estimadas del Sprint 7</t>
  </si>
  <si>
    <t>SPRINT 8</t>
  </si>
  <si>
    <t>H1 - Como usuario quiero que al subir una fotografía el sistema analice automáticamente la imagen con IA y sugiera etiquetas de elementos de continuidad para agilizar el proceso de documentación.</t>
  </si>
  <si>
    <t>H2 - Como usuario quiero revisar las etiquetas sugeridas por la IA y poder aceptarlas, modificarlas o descartarlas para garantizar que solo queden registradas etiquetas verificadas por un humano.</t>
  </si>
  <si>
    <t>H3 - Como usuario quiero consultar las métricas de precisión del modelo de IA para evaluar su rendimiento y determinar si requiere reentrenamiento.</t>
  </si>
  <si>
    <t>Total horas estimadas del Sprint 8</t>
  </si>
  <si>
    <t>RESUMEN GENERAL — Validación contra Presupuesto (Punto 6)</t>
  </si>
  <si>
    <t>Horas totales estimadas (8 sprints, todas las historias)</t>
  </si>
  <si>
    <t>Capacidad presupuestada total (8 sprints x 4 integrantes x 80 h)</t>
  </si>
  <si>
    <t>Holgura (Capacidad presupuestada - Horas estimadas)</t>
  </si>
  <si>
    <t>Valor/Hora promedio del equipo (Presupuesto Punto 6.1 y 6.2)</t>
  </si>
  <si>
    <t>Costo equivalente de las horas estimadas (Horas totales x Valor/Hora)</t>
  </si>
  <si>
    <t>Mano de obra bruta presupuestada (Presupuesto Punto 6.1)</t>
  </si>
  <si>
    <t>Diferencia de costo (Mano de obra presupuestada - Costo equivalente estimado)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</si>
</sst>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 x14ac:knownFonts="1">
    <font>
      <sz val="11"/>
      <color theme="1"/>
      <name val="Calibri"/>
      <charset val="1"/>
    </font>
    <font>
      <b/>
      <sz val="8"/>
      <color theme="1"/>
      <name val="Arial"/>
      <charset val="1"/>
    </font>
    <font>
      <sz val="8"/>
      <color theme="1"/>
      <name val="Arial"/>
      <charset val="1"/>
    </font>
    <font>
      <b/>
      <sz val="8"/>
      <color rgb="FFFFFFFF"/>
      <name val="Arial"/>
      <charset val="1"/>
    </font>
    <font>
      <b/>
      <sz val="8"/>
      <color theme="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969696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4" fillId="2" borderId="4" xfId="0" applyFont="1" applyFill="1" applyBorder="1"/>
    <xf numFmtId="0" fontId="4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2" borderId="5" xfId="0" applyFont="1" applyFill="1" applyBorder="1"/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4"/>
  <sheetViews>
    <sheetView tabSelected="1" zoomScaleNormal="100" workbookViewId="0"/>
  </sheetViews>
  <sheetFormatPr baseColWidth="10" defaultColWidth="8.6640625" defaultRowHeight="14.4" x14ac:dyDescent="0.3"/>
  <cols>
    <col min="1" max="1" width="6" customWidth="1"/>
    <col min="2" max="2" width="133.88671875" customWidth="1"/>
    <col min="3" max="3" width="11.109375" customWidth="1"/>
    <col min="4" max="4" width="17.33203125" customWidth="1"/>
    <col min="5" max="5" width="36.88671875" customWidth="1"/>
    <col min="6" max="6" width="19" customWidth="1"/>
    <col min="7" max="7" width="32.6640625" customWidth="1"/>
    <col min="8" max="8" width="15" customWidth="1"/>
    <col min="9" max="9" width="10.6640625" customWidth="1"/>
  </cols>
  <sheetData>
    <row r="1" spans="2:8" x14ac:dyDescent="0.3">
      <c r="B1" s="1" t="s">
        <v>0</v>
      </c>
      <c r="C1" s="12" t="s">
        <v>1</v>
      </c>
      <c r="D1" s="12"/>
      <c r="E1" s="12"/>
      <c r="F1" s="12"/>
      <c r="G1" s="12"/>
      <c r="H1" s="12"/>
    </row>
    <row r="2" spans="2:8" x14ac:dyDescent="0.3">
      <c r="B2" s="2" t="s">
        <v>2</v>
      </c>
      <c r="C2" s="3">
        <v>4</v>
      </c>
      <c r="D2" s="4" t="str">
        <f>IF(C2&gt;4,"No viable","Viable")</f>
        <v>Viable</v>
      </c>
      <c r="E2" s="13" t="str">
        <f>CONCATENATE("Las semanas destinadas son: "&amp; C2)</f>
        <v>Las semanas destinadas son: 4</v>
      </c>
      <c r="F2" s="13"/>
      <c r="G2" s="13"/>
      <c r="H2" s="13"/>
    </row>
    <row r="3" spans="2:8" x14ac:dyDescent="0.3">
      <c r="B3" s="2" t="s">
        <v>3</v>
      </c>
      <c r="C3" s="3">
        <f>4*80</f>
        <v>320</v>
      </c>
      <c r="D3" s="4" t="str">
        <f>IF(SUM(G5:G10)&gt;C3,"Excede capacidad","Dentro de capacidad")</f>
        <v>Excede capacidad</v>
      </c>
      <c r="E3" s="13" t="str">
        <f>CONCATENATE("Horas estimadas: ",SUM(G5:G10)," / Capacidad presupuestada: ",C3)</f>
        <v>Horas estimadas: 390 / Capacidad presupuestada: 320</v>
      </c>
      <c r="F3" s="13"/>
      <c r="G3" s="13"/>
      <c r="H3" s="13"/>
    </row>
    <row r="4" spans="2:8" x14ac:dyDescent="0.3">
      <c r="B4" s="5" t="s">
        <v>4</v>
      </c>
      <c r="C4" s="6" t="s">
        <v>5</v>
      </c>
      <c r="D4" s="7" t="s">
        <v>6</v>
      </c>
      <c r="E4" s="6" t="s">
        <v>7</v>
      </c>
      <c r="F4" s="7" t="s">
        <v>8</v>
      </c>
      <c r="G4" s="7" t="s">
        <v>9</v>
      </c>
      <c r="H4" s="8" t="s">
        <v>10</v>
      </c>
    </row>
    <row r="5" spans="2:8" x14ac:dyDescent="0.3">
      <c r="B5" s="9" t="s">
        <v>11</v>
      </c>
      <c r="C5" s="10">
        <v>13</v>
      </c>
      <c r="D5" s="10">
        <v>3</v>
      </c>
      <c r="E5" s="10">
        <v>8</v>
      </c>
      <c r="F5" s="10">
        <v>5</v>
      </c>
      <c r="G5" s="10">
        <f t="shared" ref="G5:G10" si="0">D5*E5*F5</f>
        <v>120</v>
      </c>
      <c r="H5" s="14">
        <f>AVERAGE(C5:C10)</f>
        <v>8.3333333333333339</v>
      </c>
    </row>
    <row r="6" spans="2:8" x14ac:dyDescent="0.3">
      <c r="B6" s="9" t="s">
        <v>12</v>
      </c>
      <c r="C6" s="10">
        <v>5</v>
      </c>
      <c r="D6" s="10">
        <v>2</v>
      </c>
      <c r="E6" s="10">
        <v>5</v>
      </c>
      <c r="F6" s="10">
        <v>3</v>
      </c>
      <c r="G6" s="10">
        <f t="shared" si="0"/>
        <v>30</v>
      </c>
      <c r="H6" s="14"/>
    </row>
    <row r="7" spans="2:8" x14ac:dyDescent="0.3">
      <c r="B7" s="9" t="s">
        <v>13</v>
      </c>
      <c r="C7" s="10">
        <v>8</v>
      </c>
      <c r="D7" s="10">
        <v>4</v>
      </c>
      <c r="E7" s="10">
        <v>5</v>
      </c>
      <c r="F7" s="10">
        <v>3</v>
      </c>
      <c r="G7" s="10">
        <f t="shared" si="0"/>
        <v>60</v>
      </c>
      <c r="H7" s="14"/>
    </row>
    <row r="8" spans="2:8" x14ac:dyDescent="0.3">
      <c r="B8" s="9" t="s">
        <v>14</v>
      </c>
      <c r="C8" s="10">
        <v>8</v>
      </c>
      <c r="D8" s="10">
        <v>4</v>
      </c>
      <c r="E8" s="10">
        <v>5</v>
      </c>
      <c r="F8" s="10">
        <v>3</v>
      </c>
      <c r="G8" s="10">
        <f t="shared" si="0"/>
        <v>60</v>
      </c>
      <c r="H8" s="14"/>
    </row>
    <row r="9" spans="2:8" x14ac:dyDescent="0.3">
      <c r="B9" s="9" t="s">
        <v>15</v>
      </c>
      <c r="C9" s="10">
        <v>8</v>
      </c>
      <c r="D9" s="10">
        <v>4</v>
      </c>
      <c r="E9" s="10">
        <v>5</v>
      </c>
      <c r="F9" s="10">
        <v>3</v>
      </c>
      <c r="G9" s="10">
        <f t="shared" si="0"/>
        <v>60</v>
      </c>
      <c r="H9" s="14"/>
    </row>
    <row r="10" spans="2:8" x14ac:dyDescent="0.3">
      <c r="B10" s="9" t="s">
        <v>16</v>
      </c>
      <c r="C10" s="10">
        <v>8</v>
      </c>
      <c r="D10" s="10">
        <v>4</v>
      </c>
      <c r="E10" s="10">
        <v>5</v>
      </c>
      <c r="F10" s="10">
        <v>3</v>
      </c>
      <c r="G10" s="10">
        <f t="shared" si="0"/>
        <v>60</v>
      </c>
      <c r="H10" s="14"/>
    </row>
    <row r="11" spans="2:8" x14ac:dyDescent="0.3">
      <c r="B11" s="2" t="s">
        <v>17</v>
      </c>
      <c r="C11" s="2"/>
      <c r="D11" s="2"/>
      <c r="E11" s="2"/>
      <c r="F11" s="2"/>
      <c r="G11" s="3">
        <f>SUM(G5:G10)</f>
        <v>390</v>
      </c>
    </row>
    <row r="13" spans="2:8" x14ac:dyDescent="0.3">
      <c r="B13" s="1" t="s">
        <v>18</v>
      </c>
      <c r="C13" s="12" t="s">
        <v>19</v>
      </c>
      <c r="D13" s="12"/>
      <c r="E13" s="12"/>
      <c r="F13" s="12"/>
      <c r="G13" s="12"/>
      <c r="H13" s="12"/>
    </row>
    <row r="14" spans="2:8" x14ac:dyDescent="0.3">
      <c r="B14" s="2" t="s">
        <v>2</v>
      </c>
      <c r="C14" s="3">
        <v>4</v>
      </c>
      <c r="D14" s="4" t="str">
        <f>IF(C14&gt;4,"No viable","Viable")</f>
        <v>Viable</v>
      </c>
      <c r="E14" s="13" t="str">
        <f>CONCATENATE("Las semanas destinadas son: "&amp; C14)</f>
        <v>Las semanas destinadas son: 4</v>
      </c>
      <c r="F14" s="13"/>
      <c r="G14" s="13"/>
      <c r="H14" s="13"/>
    </row>
    <row r="15" spans="2:8" x14ac:dyDescent="0.3">
      <c r="B15" s="2" t="s">
        <v>3</v>
      </c>
      <c r="C15" s="3">
        <f>4*80</f>
        <v>320</v>
      </c>
      <c r="D15" s="4" t="str">
        <f>IF(SUM(G17:G19)&gt;C15,"Excede capacidad","Dentro de capacidad")</f>
        <v>Dentro de capacidad</v>
      </c>
      <c r="E15" s="13" t="str">
        <f>CONCATENATE("Horas estimadas: ",SUM(G17:G19)," / Capacidad presupuestada: ",C15)</f>
        <v>Horas estimadas: 122 / Capacidad presupuestada: 320</v>
      </c>
      <c r="F15" s="13"/>
      <c r="G15" s="13"/>
      <c r="H15" s="13"/>
    </row>
    <row r="16" spans="2:8" x14ac:dyDescent="0.3">
      <c r="B16" s="5" t="s">
        <v>4</v>
      </c>
      <c r="C16" s="6" t="s">
        <v>5</v>
      </c>
      <c r="D16" s="7" t="s">
        <v>6</v>
      </c>
      <c r="E16" s="6" t="s">
        <v>7</v>
      </c>
      <c r="F16" s="7" t="s">
        <v>8</v>
      </c>
      <c r="G16" s="7" t="s">
        <v>9</v>
      </c>
      <c r="H16" s="8" t="s">
        <v>10</v>
      </c>
    </row>
    <row r="17" spans="2:8" x14ac:dyDescent="0.3">
      <c r="B17" s="9" t="s">
        <v>20</v>
      </c>
      <c r="C17" s="10">
        <v>5</v>
      </c>
      <c r="D17" s="10">
        <v>2</v>
      </c>
      <c r="E17" s="10">
        <v>5</v>
      </c>
      <c r="F17" s="10">
        <v>3</v>
      </c>
      <c r="G17" s="10">
        <f>D17*E17*F17</f>
        <v>30</v>
      </c>
      <c r="H17" s="14">
        <f>AVERAGE(C17:C19)</f>
        <v>7</v>
      </c>
    </row>
    <row r="18" spans="2:8" x14ac:dyDescent="0.3">
      <c r="B18" s="9" t="s">
        <v>21</v>
      </c>
      <c r="C18" s="10">
        <v>8</v>
      </c>
      <c r="D18" s="10">
        <v>2</v>
      </c>
      <c r="E18" s="10">
        <v>5</v>
      </c>
      <c r="F18" s="10">
        <v>2</v>
      </c>
      <c r="G18" s="10">
        <f>D18*E18*F18</f>
        <v>20</v>
      </c>
      <c r="H18" s="14"/>
    </row>
    <row r="19" spans="2:8" x14ac:dyDescent="0.3">
      <c r="B19" s="9" t="s">
        <v>22</v>
      </c>
      <c r="C19" s="10">
        <v>8</v>
      </c>
      <c r="D19" s="10">
        <v>3</v>
      </c>
      <c r="E19" s="10">
        <v>6</v>
      </c>
      <c r="F19" s="10">
        <v>4</v>
      </c>
      <c r="G19" s="10">
        <f>D19*E19*F19</f>
        <v>72</v>
      </c>
      <c r="H19" s="14"/>
    </row>
    <row r="20" spans="2:8" x14ac:dyDescent="0.3">
      <c r="B20" s="2" t="s">
        <v>23</v>
      </c>
      <c r="C20" s="2"/>
      <c r="D20" s="2"/>
      <c r="E20" s="2"/>
      <c r="F20" s="2"/>
      <c r="G20" s="3">
        <f>SUM(G17:G19)</f>
        <v>122</v>
      </c>
    </row>
    <row r="22" spans="2:8" x14ac:dyDescent="0.3">
      <c r="B22" s="1" t="s">
        <v>24</v>
      </c>
      <c r="C22" s="12" t="s">
        <v>19</v>
      </c>
      <c r="D22" s="12"/>
      <c r="E22" s="12"/>
      <c r="F22" s="12"/>
      <c r="G22" s="12"/>
      <c r="H22" s="12"/>
    </row>
    <row r="23" spans="2:8" x14ac:dyDescent="0.3">
      <c r="B23" s="2" t="s">
        <v>2</v>
      </c>
      <c r="C23" s="3">
        <v>4</v>
      </c>
      <c r="D23" s="4" t="str">
        <f>IF(C23&gt;4,"No viable","Viable")</f>
        <v>Viable</v>
      </c>
      <c r="E23" s="13" t="str">
        <f>CONCATENATE("Las semanas destinadas son: "&amp; C23)</f>
        <v>Las semanas destinadas son: 4</v>
      </c>
      <c r="F23" s="13"/>
      <c r="G23" s="13"/>
      <c r="H23" s="13"/>
    </row>
    <row r="24" spans="2:8" x14ac:dyDescent="0.3">
      <c r="B24" s="2" t="s">
        <v>3</v>
      </c>
      <c r="C24" s="3">
        <f>4*80</f>
        <v>320</v>
      </c>
      <c r="D24" s="4" t="str">
        <f>IF(SUM(G26:G33)&gt;C24,"Excede capacidad","Dentro de capacidad")</f>
        <v>Excede capacidad</v>
      </c>
      <c r="E24" s="13" t="str">
        <f>CONCATENATE("Horas estimadas: ",SUM(G26:G33)," / Capacidad presupuestada: ",C24)</f>
        <v>Horas estimadas: 584 / Capacidad presupuestada: 320</v>
      </c>
      <c r="F24" s="13"/>
      <c r="G24" s="13"/>
      <c r="H24" s="13"/>
    </row>
    <row r="25" spans="2:8" x14ac:dyDescent="0.3">
      <c r="B25" s="5" t="s">
        <v>4</v>
      </c>
      <c r="C25" s="6" t="s">
        <v>5</v>
      </c>
      <c r="D25" s="7" t="s">
        <v>6</v>
      </c>
      <c r="E25" s="6" t="s">
        <v>7</v>
      </c>
      <c r="F25" s="7" t="s">
        <v>8</v>
      </c>
      <c r="G25" s="7" t="s">
        <v>9</v>
      </c>
      <c r="H25" s="8" t="s">
        <v>10</v>
      </c>
    </row>
    <row r="26" spans="2:8" x14ac:dyDescent="0.3">
      <c r="B26" s="9" t="s">
        <v>25</v>
      </c>
      <c r="C26" s="10">
        <v>8</v>
      </c>
      <c r="D26" s="10">
        <v>2</v>
      </c>
      <c r="E26" s="10">
        <v>5</v>
      </c>
      <c r="F26" s="10">
        <v>6</v>
      </c>
      <c r="G26" s="10">
        <f t="shared" ref="G26:G33" si="1">D26*E26*F26</f>
        <v>60</v>
      </c>
      <c r="H26" s="14">
        <f>AVERAGE(C26:C33)</f>
        <v>9.125</v>
      </c>
    </row>
    <row r="27" spans="2:8" x14ac:dyDescent="0.3">
      <c r="B27" s="9" t="s">
        <v>26</v>
      </c>
      <c r="C27" s="10">
        <v>13</v>
      </c>
      <c r="D27" s="10">
        <v>3</v>
      </c>
      <c r="E27" s="10">
        <v>6</v>
      </c>
      <c r="F27" s="10">
        <v>6</v>
      </c>
      <c r="G27" s="10">
        <f t="shared" si="1"/>
        <v>108</v>
      </c>
      <c r="H27" s="14"/>
    </row>
    <row r="28" spans="2:8" x14ac:dyDescent="0.3">
      <c r="B28" s="9" t="s">
        <v>27</v>
      </c>
      <c r="C28" s="10">
        <v>8</v>
      </c>
      <c r="D28" s="10">
        <v>2</v>
      </c>
      <c r="E28" s="10">
        <v>5</v>
      </c>
      <c r="F28" s="10">
        <v>6</v>
      </c>
      <c r="G28" s="10">
        <f t="shared" si="1"/>
        <v>60</v>
      </c>
      <c r="H28" s="14"/>
    </row>
    <row r="29" spans="2:8" x14ac:dyDescent="0.3">
      <c r="B29" s="9" t="s">
        <v>28</v>
      </c>
      <c r="C29" s="10">
        <v>5</v>
      </c>
      <c r="D29" s="10">
        <v>2</v>
      </c>
      <c r="E29" s="10">
        <v>4</v>
      </c>
      <c r="F29" s="10">
        <v>5</v>
      </c>
      <c r="G29" s="10">
        <f t="shared" si="1"/>
        <v>40</v>
      </c>
      <c r="H29" s="14"/>
    </row>
    <row r="30" spans="2:8" x14ac:dyDescent="0.3">
      <c r="B30" s="9" t="s">
        <v>29</v>
      </c>
      <c r="C30" s="10">
        <v>13</v>
      </c>
      <c r="D30" s="10">
        <v>3</v>
      </c>
      <c r="E30" s="10">
        <v>6</v>
      </c>
      <c r="F30" s="10">
        <v>6</v>
      </c>
      <c r="G30" s="10">
        <f t="shared" si="1"/>
        <v>108</v>
      </c>
      <c r="H30" s="14"/>
    </row>
    <row r="31" spans="2:8" x14ac:dyDescent="0.3">
      <c r="B31" s="9" t="s">
        <v>30</v>
      </c>
      <c r="C31" s="10">
        <v>5</v>
      </c>
      <c r="D31" s="10">
        <v>2</v>
      </c>
      <c r="E31" s="10">
        <v>4</v>
      </c>
      <c r="F31" s="10">
        <v>5</v>
      </c>
      <c r="G31" s="10">
        <f t="shared" si="1"/>
        <v>40</v>
      </c>
      <c r="H31" s="14"/>
    </row>
    <row r="32" spans="2:8" x14ac:dyDescent="0.3">
      <c r="B32" s="9" t="s">
        <v>31</v>
      </c>
      <c r="C32" s="10">
        <v>13</v>
      </c>
      <c r="D32" s="10">
        <v>3</v>
      </c>
      <c r="E32" s="10">
        <v>6</v>
      </c>
      <c r="F32" s="10">
        <v>6</v>
      </c>
      <c r="G32" s="10">
        <f t="shared" si="1"/>
        <v>108</v>
      </c>
      <c r="H32" s="14"/>
    </row>
    <row r="33" spans="2:8" x14ac:dyDescent="0.3">
      <c r="B33" s="9" t="s">
        <v>32</v>
      </c>
      <c r="C33" s="10">
        <v>8</v>
      </c>
      <c r="D33" s="10">
        <v>2</v>
      </c>
      <c r="E33" s="10">
        <v>5</v>
      </c>
      <c r="F33" s="10">
        <v>6</v>
      </c>
      <c r="G33" s="10">
        <f t="shared" si="1"/>
        <v>60</v>
      </c>
      <c r="H33" s="14"/>
    </row>
    <row r="34" spans="2:8" x14ac:dyDescent="0.3">
      <c r="B34" s="2" t="s">
        <v>33</v>
      </c>
      <c r="C34" s="2"/>
      <c r="D34" s="2"/>
      <c r="E34" s="2"/>
      <c r="F34" s="2"/>
      <c r="G34" s="3">
        <f>SUM(G26:G33)</f>
        <v>584</v>
      </c>
    </row>
    <row r="36" spans="2:8" x14ac:dyDescent="0.3">
      <c r="B36" s="1" t="s">
        <v>34</v>
      </c>
      <c r="C36" s="12" t="s">
        <v>35</v>
      </c>
      <c r="D36" s="12"/>
      <c r="E36" s="12"/>
      <c r="F36" s="12"/>
      <c r="G36" s="12"/>
      <c r="H36" s="12"/>
    </row>
    <row r="37" spans="2:8" x14ac:dyDescent="0.3">
      <c r="B37" s="2" t="s">
        <v>2</v>
      </c>
      <c r="C37" s="3">
        <v>4</v>
      </c>
      <c r="D37" s="4" t="str">
        <f>IF(C37&gt;4,"No viable","Viable")</f>
        <v>Viable</v>
      </c>
      <c r="E37" s="13" t="str">
        <f>CONCATENATE("Las semanas destinadas son: "&amp; C37)</f>
        <v>Las semanas destinadas son: 4</v>
      </c>
      <c r="F37" s="13"/>
      <c r="G37" s="13"/>
      <c r="H37" s="13"/>
    </row>
    <row r="38" spans="2:8" x14ac:dyDescent="0.3">
      <c r="B38" s="2" t="s">
        <v>3</v>
      </c>
      <c r="C38" s="3">
        <f>4*80</f>
        <v>320</v>
      </c>
      <c r="D38" s="4" t="str">
        <f>IF(SUM(G40:G45)&gt;C38,"Excede capacidad","Dentro de capacidad")</f>
        <v>Dentro de capacidad</v>
      </c>
      <c r="E38" s="13" t="str">
        <f>CONCATENATE("Horas estimadas: ",SUM(G40:G45)," / Capacidad presupuestada: ",C38)</f>
        <v>Horas estimadas: 313 / Capacidad presupuestada: 320</v>
      </c>
      <c r="F38" s="13"/>
      <c r="G38" s="13"/>
      <c r="H38" s="13"/>
    </row>
    <row r="39" spans="2:8" x14ac:dyDescent="0.3">
      <c r="B39" s="5" t="s">
        <v>4</v>
      </c>
      <c r="C39" s="6" t="s">
        <v>5</v>
      </c>
      <c r="D39" s="7" t="s">
        <v>6</v>
      </c>
      <c r="E39" s="6" t="s">
        <v>7</v>
      </c>
      <c r="F39" s="7" t="s">
        <v>8</v>
      </c>
      <c r="G39" s="7" t="s">
        <v>9</v>
      </c>
      <c r="H39" s="8" t="s">
        <v>10</v>
      </c>
    </row>
    <row r="40" spans="2:8" x14ac:dyDescent="0.3">
      <c r="B40" s="9" t="s">
        <v>36</v>
      </c>
      <c r="C40" s="10">
        <v>13</v>
      </c>
      <c r="D40" s="10">
        <v>3</v>
      </c>
      <c r="E40" s="10">
        <v>6</v>
      </c>
      <c r="F40" s="10">
        <v>6</v>
      </c>
      <c r="G40" s="10">
        <f t="shared" ref="G40:G45" si="2">D40*E40*F40</f>
        <v>108</v>
      </c>
      <c r="H40" s="14">
        <f>AVERAGE(C40:C45)</f>
        <v>8.1666666666666661</v>
      </c>
    </row>
    <row r="41" spans="2:8" x14ac:dyDescent="0.3">
      <c r="B41" s="9" t="s">
        <v>37</v>
      </c>
      <c r="C41" s="10">
        <v>5</v>
      </c>
      <c r="D41" s="10">
        <v>2</v>
      </c>
      <c r="E41" s="10">
        <v>4</v>
      </c>
      <c r="F41" s="10">
        <v>6</v>
      </c>
      <c r="G41" s="10">
        <f t="shared" si="2"/>
        <v>48</v>
      </c>
      <c r="H41" s="14"/>
    </row>
    <row r="42" spans="2:8" x14ac:dyDescent="0.3">
      <c r="B42" s="9" t="s">
        <v>38</v>
      </c>
      <c r="C42" s="10">
        <v>5</v>
      </c>
      <c r="D42" s="10">
        <v>2</v>
      </c>
      <c r="E42" s="10">
        <v>6</v>
      </c>
      <c r="F42" s="10">
        <v>3</v>
      </c>
      <c r="G42" s="10">
        <f t="shared" si="2"/>
        <v>36</v>
      </c>
      <c r="H42" s="14"/>
    </row>
    <row r="43" spans="2:8" x14ac:dyDescent="0.3">
      <c r="B43" s="9" t="s">
        <v>39</v>
      </c>
      <c r="C43" s="10">
        <v>5</v>
      </c>
      <c r="D43" s="10">
        <v>2</v>
      </c>
      <c r="E43" s="10">
        <v>4</v>
      </c>
      <c r="F43" s="10">
        <v>2</v>
      </c>
      <c r="G43" s="10">
        <f t="shared" si="2"/>
        <v>16</v>
      </c>
      <c r="H43" s="14"/>
    </row>
    <row r="44" spans="2:8" x14ac:dyDescent="0.3">
      <c r="B44" s="9" t="s">
        <v>40</v>
      </c>
      <c r="C44" s="10">
        <v>8</v>
      </c>
      <c r="D44" s="10">
        <v>3</v>
      </c>
      <c r="E44" s="10">
        <v>5</v>
      </c>
      <c r="F44" s="10">
        <v>3</v>
      </c>
      <c r="G44" s="10">
        <f t="shared" si="2"/>
        <v>45</v>
      </c>
      <c r="H44" s="14"/>
    </row>
    <row r="45" spans="2:8" x14ac:dyDescent="0.3">
      <c r="B45" s="9" t="s">
        <v>41</v>
      </c>
      <c r="C45" s="10">
        <v>13</v>
      </c>
      <c r="D45" s="10">
        <v>3</v>
      </c>
      <c r="E45" s="10">
        <v>10</v>
      </c>
      <c r="F45" s="10">
        <v>2</v>
      </c>
      <c r="G45" s="10">
        <f t="shared" si="2"/>
        <v>60</v>
      </c>
      <c r="H45" s="14"/>
    </row>
    <row r="46" spans="2:8" x14ac:dyDescent="0.3">
      <c r="B46" s="2" t="s">
        <v>42</v>
      </c>
      <c r="C46" s="2"/>
      <c r="D46" s="2"/>
      <c r="E46" s="2"/>
      <c r="F46" s="2"/>
      <c r="G46" s="3">
        <f>SUM(G40:G45)</f>
        <v>313</v>
      </c>
    </row>
    <row r="48" spans="2:8" x14ac:dyDescent="0.3">
      <c r="B48" s="1" t="s">
        <v>43</v>
      </c>
      <c r="C48" s="12" t="s">
        <v>19</v>
      </c>
      <c r="D48" s="12"/>
      <c r="E48" s="12"/>
      <c r="F48" s="12"/>
      <c r="G48" s="12"/>
      <c r="H48" s="12"/>
    </row>
    <row r="49" spans="2:8" x14ac:dyDescent="0.3">
      <c r="B49" s="2" t="s">
        <v>2</v>
      </c>
      <c r="C49" s="3">
        <v>4</v>
      </c>
      <c r="D49" s="4" t="str">
        <f>IF(C49&gt;4,"No viable","Viable")</f>
        <v>Viable</v>
      </c>
      <c r="E49" s="13" t="str">
        <f>CONCATENATE("Las semanas destinadas son: "&amp; C49)</f>
        <v>Las semanas destinadas son: 4</v>
      </c>
      <c r="F49" s="13"/>
      <c r="G49" s="13"/>
      <c r="H49" s="13"/>
    </row>
    <row r="50" spans="2:8" x14ac:dyDescent="0.3">
      <c r="B50" s="2" t="s">
        <v>3</v>
      </c>
      <c r="C50" s="3">
        <f>4*80</f>
        <v>320</v>
      </c>
      <c r="D50" s="4" t="str">
        <f>IF(SUM(G52:G56)&gt;C50,"Excede capacidad","Dentro de capacidad")</f>
        <v>Dentro de capacidad</v>
      </c>
      <c r="E50" s="13" t="str">
        <f>CONCATENATE("Horas estimadas: ",SUM(G52:G56)," / Capacidad presupuestada: ",C50)</f>
        <v>Horas estimadas: 130 / Capacidad presupuestada: 320</v>
      </c>
      <c r="F50" s="13"/>
      <c r="G50" s="13"/>
      <c r="H50" s="13"/>
    </row>
    <row r="51" spans="2:8" x14ac:dyDescent="0.3">
      <c r="B51" s="5" t="s">
        <v>4</v>
      </c>
      <c r="C51" s="6" t="s">
        <v>5</v>
      </c>
      <c r="D51" s="7" t="s">
        <v>6</v>
      </c>
      <c r="E51" s="6" t="s">
        <v>7</v>
      </c>
      <c r="F51" s="7" t="s">
        <v>8</v>
      </c>
      <c r="G51" s="7" t="s">
        <v>9</v>
      </c>
      <c r="H51" s="8" t="s">
        <v>10</v>
      </c>
    </row>
    <row r="52" spans="2:8" x14ac:dyDescent="0.3">
      <c r="B52" s="9" t="s">
        <v>44</v>
      </c>
      <c r="C52" s="10">
        <v>8</v>
      </c>
      <c r="D52" s="10">
        <v>2</v>
      </c>
      <c r="E52" s="10">
        <v>10</v>
      </c>
      <c r="F52" s="10">
        <v>2</v>
      </c>
      <c r="G52" s="10">
        <f>D52*E52*F52</f>
        <v>40</v>
      </c>
      <c r="H52" s="14">
        <f>AVERAGE(C52:C56)</f>
        <v>4.8</v>
      </c>
    </row>
    <row r="53" spans="2:8" x14ac:dyDescent="0.3">
      <c r="B53" s="9" t="s">
        <v>45</v>
      </c>
      <c r="C53" s="10">
        <v>3</v>
      </c>
      <c r="D53" s="10">
        <v>2</v>
      </c>
      <c r="E53" s="10">
        <v>4</v>
      </c>
      <c r="F53" s="10">
        <v>2</v>
      </c>
      <c r="G53" s="10">
        <f>D53*E53*F53</f>
        <v>16</v>
      </c>
      <c r="H53" s="14"/>
    </row>
    <row r="54" spans="2:8" x14ac:dyDescent="0.3">
      <c r="B54" s="9" t="s">
        <v>46</v>
      </c>
      <c r="C54" s="10">
        <v>3</v>
      </c>
      <c r="D54" s="10">
        <v>4</v>
      </c>
      <c r="E54" s="10">
        <v>4</v>
      </c>
      <c r="F54" s="10">
        <v>2</v>
      </c>
      <c r="G54" s="10">
        <f>D54*E54*F54</f>
        <v>32</v>
      </c>
      <c r="H54" s="14"/>
    </row>
    <row r="55" spans="2:8" x14ac:dyDescent="0.3">
      <c r="B55" s="9" t="s">
        <v>47</v>
      </c>
      <c r="C55" s="10">
        <v>5</v>
      </c>
      <c r="D55" s="10">
        <v>3</v>
      </c>
      <c r="E55" s="10">
        <v>2</v>
      </c>
      <c r="F55" s="10">
        <v>3</v>
      </c>
      <c r="G55" s="10">
        <f>D55*E55*F55</f>
        <v>18</v>
      </c>
      <c r="H55" s="14"/>
    </row>
    <row r="56" spans="2:8" x14ac:dyDescent="0.3">
      <c r="B56" s="9" t="s">
        <v>48</v>
      </c>
      <c r="C56" s="10">
        <v>5</v>
      </c>
      <c r="D56" s="10">
        <v>2</v>
      </c>
      <c r="E56" s="10">
        <v>6</v>
      </c>
      <c r="F56" s="10">
        <v>2</v>
      </c>
      <c r="G56" s="10">
        <f>D56*E56*F56</f>
        <v>24</v>
      </c>
      <c r="H56" s="14"/>
    </row>
    <row r="57" spans="2:8" x14ac:dyDescent="0.3">
      <c r="B57" s="2" t="s">
        <v>49</v>
      </c>
      <c r="C57" s="2"/>
      <c r="D57" s="2"/>
      <c r="E57" s="2"/>
      <c r="F57" s="2"/>
      <c r="G57" s="3">
        <f>SUM(G52:G56)</f>
        <v>130</v>
      </c>
    </row>
    <row r="59" spans="2:8" x14ac:dyDescent="0.3">
      <c r="B59" s="1" t="s">
        <v>50</v>
      </c>
    </row>
    <row r="60" spans="2:8" x14ac:dyDescent="0.3">
      <c r="B60" s="2" t="s">
        <v>2</v>
      </c>
      <c r="C60" s="3">
        <v>4</v>
      </c>
      <c r="D60" s="4" t="str">
        <f>IF(C60&gt;4,"No viable","Viable")</f>
        <v>Viable</v>
      </c>
      <c r="E60" s="13" t="str">
        <f>CONCATENATE("Las semanas destinadas son: "&amp; C60)</f>
        <v>Las semanas destinadas son: 4</v>
      </c>
      <c r="F60" s="13"/>
      <c r="G60" s="13"/>
      <c r="H60" s="13"/>
    </row>
    <row r="61" spans="2:8" x14ac:dyDescent="0.3">
      <c r="B61" s="2" t="s">
        <v>3</v>
      </c>
      <c r="C61" s="3">
        <f>4*80</f>
        <v>320</v>
      </c>
      <c r="D61" s="4" t="str">
        <f>IF(SUM(G63:G70)&gt;C61,"Excede capacidad","Dentro de capacidad")</f>
        <v>Dentro de capacidad</v>
      </c>
      <c r="E61" s="13" t="str">
        <f>CONCATENATE("Horas estimadas: ",SUM(G63:G70)," / Capacidad presupuestada: ",C61)</f>
        <v>Horas estimadas: 305 / Capacidad presupuestada: 320</v>
      </c>
      <c r="F61" s="13"/>
      <c r="G61" s="13"/>
      <c r="H61" s="13"/>
    </row>
    <row r="62" spans="2:8" x14ac:dyDescent="0.3">
      <c r="B62" s="5" t="s">
        <v>4</v>
      </c>
      <c r="C62" s="6" t="s">
        <v>5</v>
      </c>
      <c r="D62" s="7" t="s">
        <v>6</v>
      </c>
      <c r="E62" s="6" t="s">
        <v>7</v>
      </c>
      <c r="F62" s="7" t="s">
        <v>8</v>
      </c>
      <c r="G62" s="7" t="s">
        <v>9</v>
      </c>
      <c r="H62" s="8" t="s">
        <v>10</v>
      </c>
    </row>
    <row r="63" spans="2:8" x14ac:dyDescent="0.3">
      <c r="B63" s="9" t="s">
        <v>51</v>
      </c>
      <c r="C63" s="10">
        <v>13</v>
      </c>
      <c r="D63" s="10">
        <v>3</v>
      </c>
      <c r="E63" s="10">
        <v>10</v>
      </c>
      <c r="F63" s="10">
        <v>3</v>
      </c>
      <c r="G63" s="10">
        <f t="shared" ref="G63:G70" si="3">D63*E63*F63</f>
        <v>90</v>
      </c>
      <c r="H63" s="14">
        <f>AVERAGE(C63:C70)</f>
        <v>6</v>
      </c>
    </row>
    <row r="64" spans="2:8" x14ac:dyDescent="0.3">
      <c r="B64" s="9" t="s">
        <v>52</v>
      </c>
      <c r="C64" s="10">
        <v>7</v>
      </c>
      <c r="D64" s="10">
        <v>3</v>
      </c>
      <c r="E64" s="10">
        <v>5</v>
      </c>
      <c r="F64" s="10">
        <v>3</v>
      </c>
      <c r="G64" s="10">
        <f t="shared" si="3"/>
        <v>45</v>
      </c>
      <c r="H64" s="14"/>
    </row>
    <row r="65" spans="2:8" x14ac:dyDescent="0.3">
      <c r="B65" s="9" t="s">
        <v>53</v>
      </c>
      <c r="C65" s="10">
        <v>5</v>
      </c>
      <c r="D65" s="10">
        <v>3</v>
      </c>
      <c r="E65" s="10">
        <v>5</v>
      </c>
      <c r="F65" s="10">
        <v>3</v>
      </c>
      <c r="G65" s="10">
        <f t="shared" si="3"/>
        <v>45</v>
      </c>
      <c r="H65" s="14"/>
    </row>
    <row r="66" spans="2:8" x14ac:dyDescent="0.3">
      <c r="B66" s="9" t="s">
        <v>54</v>
      </c>
      <c r="C66" s="10">
        <v>7</v>
      </c>
      <c r="D66" s="10">
        <v>3</v>
      </c>
      <c r="E66" s="10">
        <v>5</v>
      </c>
      <c r="F66" s="10">
        <v>3</v>
      </c>
      <c r="G66" s="10">
        <f t="shared" si="3"/>
        <v>45</v>
      </c>
      <c r="H66" s="14"/>
    </row>
    <row r="67" spans="2:8" x14ac:dyDescent="0.3">
      <c r="B67" s="9" t="s">
        <v>55</v>
      </c>
      <c r="C67" s="10">
        <v>5</v>
      </c>
      <c r="D67" s="10">
        <v>2</v>
      </c>
      <c r="E67" s="10">
        <v>4</v>
      </c>
      <c r="F67" s="10">
        <v>2</v>
      </c>
      <c r="G67" s="10">
        <f t="shared" si="3"/>
        <v>16</v>
      </c>
      <c r="H67" s="14"/>
    </row>
    <row r="68" spans="2:8" x14ac:dyDescent="0.3">
      <c r="B68" s="9" t="s">
        <v>56</v>
      </c>
      <c r="C68" s="10">
        <v>5</v>
      </c>
      <c r="D68" s="10">
        <v>2</v>
      </c>
      <c r="E68" s="10">
        <v>4</v>
      </c>
      <c r="F68" s="10">
        <v>2</v>
      </c>
      <c r="G68" s="10">
        <f t="shared" si="3"/>
        <v>16</v>
      </c>
      <c r="H68" s="14"/>
    </row>
    <row r="69" spans="2:8" x14ac:dyDescent="0.3">
      <c r="B69" s="9" t="s">
        <v>57</v>
      </c>
      <c r="C69" s="10">
        <v>3</v>
      </c>
      <c r="D69" s="10">
        <v>3</v>
      </c>
      <c r="E69" s="10">
        <v>4</v>
      </c>
      <c r="F69" s="10">
        <v>2</v>
      </c>
      <c r="G69" s="10">
        <f t="shared" si="3"/>
        <v>24</v>
      </c>
      <c r="H69" s="14"/>
    </row>
    <row r="70" spans="2:8" x14ac:dyDescent="0.3">
      <c r="B70" s="9" t="s">
        <v>58</v>
      </c>
      <c r="C70" s="10">
        <v>3</v>
      </c>
      <c r="D70" s="10">
        <v>3</v>
      </c>
      <c r="E70" s="10">
        <v>4</v>
      </c>
      <c r="F70" s="10">
        <v>2</v>
      </c>
      <c r="G70" s="10">
        <f t="shared" si="3"/>
        <v>24</v>
      </c>
      <c r="H70" s="14"/>
    </row>
    <row r="71" spans="2:8" x14ac:dyDescent="0.3">
      <c r="B71" s="2" t="s">
        <v>59</v>
      </c>
      <c r="C71" s="2"/>
      <c r="D71" s="2"/>
      <c r="E71" s="2"/>
      <c r="F71" s="2"/>
      <c r="G71" s="3">
        <f>SUM(G63:G70)</f>
        <v>305</v>
      </c>
    </row>
    <row r="73" spans="2:8" x14ac:dyDescent="0.3">
      <c r="B73" s="1" t="s">
        <v>60</v>
      </c>
      <c r="C73" s="12" t="s">
        <v>61</v>
      </c>
      <c r="D73" s="12"/>
      <c r="E73" s="12"/>
      <c r="F73" s="12"/>
      <c r="G73" s="12"/>
      <c r="H73" s="12"/>
    </row>
    <row r="74" spans="2:8" x14ac:dyDescent="0.3">
      <c r="B74" s="2" t="s">
        <v>2</v>
      </c>
      <c r="C74" s="3">
        <v>4</v>
      </c>
      <c r="D74" s="4" t="str">
        <f>IF(C74&gt;4,"No viable","Viable")</f>
        <v>Viable</v>
      </c>
      <c r="E74" s="13" t="str">
        <f>CONCATENATE("Las semanas destinadas son: "&amp; C74)</f>
        <v>Las semanas destinadas son: 4</v>
      </c>
      <c r="F74" s="13"/>
      <c r="G74" s="13"/>
      <c r="H74" s="13"/>
    </row>
    <row r="75" spans="2:8" x14ac:dyDescent="0.3">
      <c r="B75" s="2" t="s">
        <v>3</v>
      </c>
      <c r="C75" s="3">
        <f>4*80</f>
        <v>320</v>
      </c>
      <c r="D75" s="4" t="str">
        <f>IF(SUM(G77:G84)&gt;C75,"Excede capacidad","Dentro de capacidad")</f>
        <v>Excede capacidad</v>
      </c>
      <c r="E75" s="13" t="str">
        <f>CONCATENATE("Horas estimadas: ",SUM(G77:G84)," / Capacidad presupuestada: ",C75)</f>
        <v>Horas estimadas: 638 / Capacidad presupuestada: 320</v>
      </c>
      <c r="F75" s="13"/>
      <c r="G75" s="13"/>
      <c r="H75" s="13"/>
    </row>
    <row r="76" spans="2:8" x14ac:dyDescent="0.3">
      <c r="B76" s="5" t="s">
        <v>4</v>
      </c>
      <c r="C76" s="6" t="s">
        <v>5</v>
      </c>
      <c r="D76" s="7" t="s">
        <v>6</v>
      </c>
      <c r="E76" s="6" t="s">
        <v>7</v>
      </c>
      <c r="F76" s="7" t="s">
        <v>8</v>
      </c>
      <c r="G76" s="7" t="s">
        <v>9</v>
      </c>
      <c r="H76" s="8" t="s">
        <v>10</v>
      </c>
    </row>
    <row r="77" spans="2:8" x14ac:dyDescent="0.3">
      <c r="B77" s="9" t="s">
        <v>62</v>
      </c>
      <c r="C77" s="10">
        <v>5</v>
      </c>
      <c r="D77" s="10">
        <v>2</v>
      </c>
      <c r="E77" s="10">
        <v>4</v>
      </c>
      <c r="F77" s="10">
        <v>4</v>
      </c>
      <c r="G77" s="10">
        <f t="shared" ref="G77:G84" si="4">D77*E77*F77</f>
        <v>32</v>
      </c>
      <c r="H77" s="14">
        <f>AVERAGE(C77:C84)</f>
        <v>6.625</v>
      </c>
    </row>
    <row r="78" spans="2:8" x14ac:dyDescent="0.3">
      <c r="B78" s="9" t="s">
        <v>63</v>
      </c>
      <c r="C78" s="10">
        <v>3</v>
      </c>
      <c r="D78" s="10">
        <v>2</v>
      </c>
      <c r="E78" s="10">
        <v>3</v>
      </c>
      <c r="F78" s="10">
        <v>4</v>
      </c>
      <c r="G78" s="10">
        <f t="shared" si="4"/>
        <v>24</v>
      </c>
      <c r="H78" s="14"/>
    </row>
    <row r="79" spans="2:8" x14ac:dyDescent="0.3">
      <c r="B79" s="9" t="s">
        <v>64</v>
      </c>
      <c r="C79" s="10">
        <v>8</v>
      </c>
      <c r="D79" s="10">
        <v>2</v>
      </c>
      <c r="E79" s="10">
        <v>15</v>
      </c>
      <c r="F79" s="10">
        <v>5</v>
      </c>
      <c r="G79" s="10">
        <f t="shared" si="4"/>
        <v>150</v>
      </c>
      <c r="H79" s="14"/>
    </row>
    <row r="80" spans="2:8" x14ac:dyDescent="0.3">
      <c r="B80" s="9" t="s">
        <v>65</v>
      </c>
      <c r="C80" s="10">
        <v>8</v>
      </c>
      <c r="D80" s="10">
        <v>4</v>
      </c>
      <c r="E80" s="10">
        <v>6</v>
      </c>
      <c r="F80" s="10">
        <v>4</v>
      </c>
      <c r="G80" s="10">
        <f t="shared" si="4"/>
        <v>96</v>
      </c>
      <c r="H80" s="14"/>
    </row>
    <row r="81" spans="2:8" x14ac:dyDescent="0.3">
      <c r="B81" s="9" t="s">
        <v>66</v>
      </c>
      <c r="C81" s="10">
        <v>5</v>
      </c>
      <c r="D81" s="10">
        <v>4</v>
      </c>
      <c r="E81" s="10">
        <v>3</v>
      </c>
      <c r="F81" s="10">
        <v>4</v>
      </c>
      <c r="G81" s="10">
        <f t="shared" si="4"/>
        <v>48</v>
      </c>
      <c r="H81" s="14"/>
    </row>
    <row r="82" spans="2:8" x14ac:dyDescent="0.3">
      <c r="B82" s="9" t="s">
        <v>67</v>
      </c>
      <c r="C82" s="10">
        <v>3</v>
      </c>
      <c r="D82" s="10">
        <v>4</v>
      </c>
      <c r="E82" s="10">
        <v>2</v>
      </c>
      <c r="F82" s="10">
        <v>4</v>
      </c>
      <c r="G82" s="10">
        <f t="shared" si="4"/>
        <v>32</v>
      </c>
      <c r="H82" s="14"/>
    </row>
    <row r="83" spans="2:8" x14ac:dyDescent="0.3">
      <c r="B83" s="9" t="s">
        <v>68</v>
      </c>
      <c r="C83" s="10">
        <v>8</v>
      </c>
      <c r="D83" s="10">
        <v>4</v>
      </c>
      <c r="E83" s="10">
        <v>6</v>
      </c>
      <c r="F83" s="10">
        <v>4</v>
      </c>
      <c r="G83" s="10">
        <f t="shared" si="4"/>
        <v>96</v>
      </c>
      <c r="H83" s="14"/>
    </row>
    <row r="84" spans="2:8" x14ac:dyDescent="0.3">
      <c r="B84" s="9" t="s">
        <v>69</v>
      </c>
      <c r="C84" s="10">
        <v>13</v>
      </c>
      <c r="D84" s="10">
        <v>4</v>
      </c>
      <c r="E84" s="10">
        <v>10</v>
      </c>
      <c r="F84" s="10">
        <v>4</v>
      </c>
      <c r="G84" s="10">
        <f t="shared" si="4"/>
        <v>160</v>
      </c>
      <c r="H84" s="14"/>
    </row>
    <row r="85" spans="2:8" x14ac:dyDescent="0.3">
      <c r="B85" s="2" t="s">
        <v>70</v>
      </c>
      <c r="C85" s="2"/>
      <c r="D85" s="2"/>
      <c r="E85" s="2"/>
      <c r="F85" s="2"/>
      <c r="G85" s="3">
        <f>SUM(G77:G84)</f>
        <v>638</v>
      </c>
    </row>
    <row r="87" spans="2:8" x14ac:dyDescent="0.3">
      <c r="B87" s="1" t="s">
        <v>71</v>
      </c>
    </row>
    <row r="88" spans="2:8" x14ac:dyDescent="0.3">
      <c r="B88" s="2" t="s">
        <v>2</v>
      </c>
      <c r="C88" s="3">
        <v>4</v>
      </c>
      <c r="D88" s="4" t="str">
        <f>IF(C88&gt;4,"No viable","Viable")</f>
        <v>Viable</v>
      </c>
      <c r="E88" s="13" t="str">
        <f>CONCATENATE("Las semanas destinadas son: "&amp; C88)</f>
        <v>Las semanas destinadas son: 4</v>
      </c>
      <c r="F88" s="13"/>
      <c r="G88" s="13"/>
      <c r="H88" s="13"/>
    </row>
    <row r="89" spans="2:8" x14ac:dyDescent="0.3">
      <c r="B89" s="2" t="s">
        <v>3</v>
      </c>
      <c r="C89" s="3">
        <f>4*80</f>
        <v>320</v>
      </c>
      <c r="D89" s="4" t="str">
        <f>IF(SUM(G91:G93)&gt;C89,"Excede capacidad","Dentro de capacidad")</f>
        <v>Excede capacidad</v>
      </c>
      <c r="E89" s="13" t="str">
        <f>CONCATENATE("Horas estimadas: ",SUM(G91:G93)," / Capacidad presupuestada: ",C89)</f>
        <v>Horas estimadas: 359 / Capacidad presupuestada: 320</v>
      </c>
      <c r="F89" s="13"/>
      <c r="G89" s="13"/>
      <c r="H89" s="13"/>
    </row>
    <row r="90" spans="2:8" x14ac:dyDescent="0.3">
      <c r="B90" s="5" t="s">
        <v>4</v>
      </c>
      <c r="C90" s="6" t="s">
        <v>5</v>
      </c>
      <c r="D90" s="7" t="s">
        <v>6</v>
      </c>
      <c r="E90" s="6" t="s">
        <v>7</v>
      </c>
      <c r="F90" s="7" t="s">
        <v>8</v>
      </c>
      <c r="G90" s="7" t="s">
        <v>9</v>
      </c>
      <c r="H90" s="8" t="s">
        <v>10</v>
      </c>
    </row>
    <row r="91" spans="2:8" x14ac:dyDescent="0.3">
      <c r="B91" s="9" t="s">
        <v>72</v>
      </c>
      <c r="C91" s="10">
        <v>13</v>
      </c>
      <c r="D91" s="10">
        <v>2</v>
      </c>
      <c r="E91" s="10">
        <v>10</v>
      </c>
      <c r="F91" s="10">
        <v>5</v>
      </c>
      <c r="G91" s="10">
        <f>D91*E91*F91</f>
        <v>100</v>
      </c>
      <c r="H91" s="14">
        <f>AVERAGE(C91:C93)</f>
        <v>8.6666666666666661</v>
      </c>
    </row>
    <row r="92" spans="2:8" x14ac:dyDescent="0.3">
      <c r="B92" s="9" t="s">
        <v>73</v>
      </c>
      <c r="C92" s="10">
        <v>5</v>
      </c>
      <c r="D92" s="10">
        <v>2</v>
      </c>
      <c r="E92" s="10">
        <v>8</v>
      </c>
      <c r="F92" s="10">
        <v>4</v>
      </c>
      <c r="G92" s="10">
        <f>D92*E92*F92</f>
        <v>64</v>
      </c>
      <c r="H92" s="14"/>
    </row>
    <row r="93" spans="2:8" x14ac:dyDescent="0.3">
      <c r="B93" s="9" t="s">
        <v>74</v>
      </c>
      <c r="C93" s="10">
        <v>8</v>
      </c>
      <c r="D93" s="10">
        <v>3</v>
      </c>
      <c r="E93" s="10">
        <v>13</v>
      </c>
      <c r="F93" s="10">
        <v>5</v>
      </c>
      <c r="G93" s="10">
        <f>D93*E93*F93</f>
        <v>195</v>
      </c>
      <c r="H93" s="14"/>
    </row>
    <row r="94" spans="2:8" x14ac:dyDescent="0.3">
      <c r="B94" s="2" t="s">
        <v>75</v>
      </c>
      <c r="C94" s="2"/>
      <c r="D94" s="2"/>
      <c r="E94" s="2"/>
      <c r="F94" s="2"/>
      <c r="G94" s="3">
        <f>SUM(G91:G93)</f>
        <v>359</v>
      </c>
    </row>
    <row r="97" spans="2:8" x14ac:dyDescent="0.3">
      <c r="B97" s="1" t="s">
        <v>76</v>
      </c>
      <c r="C97" s="12"/>
      <c r="D97" s="12"/>
      <c r="E97" s="12"/>
      <c r="F97" s="12"/>
      <c r="G97" s="12"/>
      <c r="H97" s="12"/>
    </row>
    <row r="98" spans="2:8" x14ac:dyDescent="0.3">
      <c r="B98" s="2" t="s">
        <v>77</v>
      </c>
      <c r="C98" s="2"/>
      <c r="D98" s="2"/>
      <c r="E98" s="2"/>
      <c r="F98" s="2"/>
      <c r="G98" s="3">
        <f>G11+G20+G34+G46+G57+G71+G85+G94</f>
        <v>2841</v>
      </c>
    </row>
    <row r="99" spans="2:8" x14ac:dyDescent="0.3">
      <c r="B99" s="2" t="s">
        <v>78</v>
      </c>
      <c r="C99" s="2"/>
      <c r="D99" s="2"/>
      <c r="E99" s="2"/>
      <c r="F99" s="2"/>
      <c r="G99" s="3">
        <f>8*4*80</f>
        <v>2560</v>
      </c>
    </row>
    <row r="100" spans="2:8" x14ac:dyDescent="0.3">
      <c r="B100" s="2" t="s">
        <v>79</v>
      </c>
      <c r="C100" s="2"/>
      <c r="D100" s="2"/>
      <c r="E100" s="2"/>
      <c r="F100" s="2"/>
      <c r="G100" s="3">
        <f>G99-G98</f>
        <v>-281</v>
      </c>
    </row>
    <row r="101" spans="2:8" x14ac:dyDescent="0.3">
      <c r="B101" s="2" t="s">
        <v>80</v>
      </c>
      <c r="C101" s="2"/>
      <c r="D101" s="2"/>
      <c r="E101" s="2"/>
      <c r="F101" s="2"/>
      <c r="G101" s="11">
        <v>30000</v>
      </c>
    </row>
    <row r="102" spans="2:8" x14ac:dyDescent="0.3">
      <c r="B102" s="2" t="s">
        <v>81</v>
      </c>
      <c r="C102" s="2"/>
      <c r="D102" s="2"/>
      <c r="E102" s="2"/>
      <c r="F102" s="2"/>
      <c r="G102" s="11">
        <f>G98*G101</f>
        <v>85230000</v>
      </c>
    </row>
    <row r="103" spans="2:8" x14ac:dyDescent="0.3">
      <c r="B103" s="2" t="s">
        <v>82</v>
      </c>
      <c r="C103" s="2"/>
      <c r="D103" s="2"/>
      <c r="E103" s="2"/>
      <c r="F103" s="2"/>
      <c r="G103" s="11">
        <f>G101*G99</f>
        <v>76800000</v>
      </c>
    </row>
    <row r="104" spans="2:8" x14ac:dyDescent="0.3">
      <c r="B104" s="2" t="s">
        <v>83</v>
      </c>
      <c r="C104" s="2"/>
      <c r="D104" s="2"/>
      <c r="E104" s="2"/>
      <c r="F104" s="2"/>
      <c r="G104" s="11">
        <f>G103-G102</f>
        <v>-8430000</v>
      </c>
    </row>
  </sheetData>
  <mergeCells count="31">
    <mergeCell ref="C1:H1"/>
    <mergeCell ref="E2:H2"/>
    <mergeCell ref="E3:H3"/>
    <mergeCell ref="H5:H10"/>
    <mergeCell ref="C13:H13"/>
    <mergeCell ref="E14:H14"/>
    <mergeCell ref="E15:H15"/>
    <mergeCell ref="H17:H19"/>
    <mergeCell ref="C22:H22"/>
    <mergeCell ref="E23:H23"/>
    <mergeCell ref="E24:H24"/>
    <mergeCell ref="H26:H33"/>
    <mergeCell ref="C36:H36"/>
    <mergeCell ref="E37:H37"/>
    <mergeCell ref="E38:H38"/>
    <mergeCell ref="H40:H45"/>
    <mergeCell ref="C48:H48"/>
    <mergeCell ref="E49:H49"/>
    <mergeCell ref="E50:H50"/>
    <mergeCell ref="H52:H56"/>
    <mergeCell ref="E60:H60"/>
    <mergeCell ref="E61:H61"/>
    <mergeCell ref="H63:H70"/>
    <mergeCell ref="C73:H73"/>
    <mergeCell ref="E74:H74"/>
    <mergeCell ref="C97:H97"/>
    <mergeCell ref="E75:H75"/>
    <mergeCell ref="H77:H84"/>
    <mergeCell ref="E88:H88"/>
    <mergeCell ref="E89:H89"/>
    <mergeCell ref="H91:H9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Camilo's PC</dc:creator>
  <dc:description/>
  <cp:lastModifiedBy>Carlos Javier Yaya</cp:lastModifiedBy>
  <cp:revision>0</cp:revision>
  <dcterms:created xsi:type="dcterms:W3CDTF">2026-05-04T16:39:58Z</dcterms:created>
  <dcterms:modified xsi:type="dcterms:W3CDTF">2026-06-25T00:59:28Z</dcterms:modified>
  <dc:language>en-US</dc:language>
</cp:coreProperties>
</file>