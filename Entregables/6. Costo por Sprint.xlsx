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MEGA\ANALISIS Y DESARROLLO DE SOFTWARE 3228973 A\PORTAFOLIO_CARLOS YAYA _3228973 A\4 _ EVIDENCIAS_DE_APRENDIZAJE\FREDDY ARDILA\CUARTO TRIMESTRE\Entregables\"/>
    </mc:Choice>
  </mc:AlternateContent>
  <xr:revisionPtr revIDLastSave="0" documentId="13_ncr:1_{F0AB1B6C-DB67-4C30-8213-BDF7684FD072}" xr6:coauthVersionLast="47" xr6:coauthVersionMax="47" xr10:uidLastSave="{00000000-0000-0000-0000-000000000000}"/>
  <bookViews>
    <workbookView xWindow="-108" yWindow="-108" windowWidth="23256" windowHeight="14616" xr2:uid="{567DBD63-63DB-4A7B-A3D3-D92F8C60021D}"/>
  </bookViews>
  <sheets>
    <sheet name="Hoja2" sheetId="2" r:id="rId1"/>
    <sheet name="Hoja3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6" i="2" l="1"/>
  <c r="N16" i="2"/>
  <c r="M17" i="2"/>
  <c r="N17" i="2"/>
  <c r="M18" i="2"/>
  <c r="N18" i="2"/>
  <c r="M19" i="2"/>
  <c r="N19" i="2"/>
  <c r="M20" i="2"/>
  <c r="N20" i="2" s="1"/>
  <c r="M21" i="2"/>
  <c r="N21" i="2"/>
  <c r="M22" i="2"/>
  <c r="N22" i="2" s="1"/>
  <c r="M15" i="2"/>
  <c r="M23" i="2" s="1"/>
  <c r="L23" i="2"/>
  <c r="J23" i="2"/>
  <c r="L22" i="2"/>
  <c r="J22" i="2"/>
  <c r="L21" i="2"/>
  <c r="J21" i="2"/>
  <c r="L20" i="2"/>
  <c r="K20" i="2"/>
  <c r="J20" i="2"/>
  <c r="L19" i="2"/>
  <c r="K19" i="2"/>
  <c r="J19" i="2"/>
  <c r="L18" i="2"/>
  <c r="K18" i="2"/>
  <c r="J18" i="2"/>
  <c r="L17" i="2"/>
  <c r="K17" i="2"/>
  <c r="J17" i="2"/>
  <c r="L16" i="2"/>
  <c r="K16" i="2"/>
  <c r="J16" i="2"/>
  <c r="J15" i="2"/>
  <c r="L15" i="2"/>
  <c r="K15" i="2"/>
  <c r="F25" i="2"/>
  <c r="K3" i="2"/>
  <c r="L3" i="2" s="1"/>
  <c r="K4" i="2"/>
  <c r="L4" i="2" s="1"/>
  <c r="K5" i="2"/>
  <c r="L5" i="2" s="1"/>
  <c r="K6" i="2"/>
  <c r="L6" i="2" s="1"/>
  <c r="K7" i="2"/>
  <c r="L7" i="2"/>
  <c r="L2" i="2"/>
  <c r="K2" i="2"/>
  <c r="J7" i="2"/>
  <c r="J6" i="2"/>
  <c r="J5" i="2"/>
  <c r="J4" i="2"/>
  <c r="J3" i="2"/>
  <c r="J2" i="2"/>
  <c r="F204" i="2"/>
  <c r="F203" i="2"/>
  <c r="F202" i="2"/>
  <c r="F201" i="2"/>
  <c r="F200" i="2"/>
  <c r="F197" i="2"/>
  <c r="F196" i="2"/>
  <c r="F195" i="2"/>
  <c r="F194" i="2"/>
  <c r="F193" i="2"/>
  <c r="F192" i="2"/>
  <c r="F188" i="2"/>
  <c r="F189" i="2" s="1"/>
  <c r="F186" i="2" s="1"/>
  <c r="F178" i="2"/>
  <c r="F177" i="2"/>
  <c r="F176" i="2"/>
  <c r="F175" i="2"/>
  <c r="F174" i="2"/>
  <c r="F171" i="2"/>
  <c r="F170" i="2"/>
  <c r="F169" i="2"/>
  <c r="F168" i="2"/>
  <c r="F167" i="2"/>
  <c r="F166" i="2"/>
  <c r="F162" i="2"/>
  <c r="F163" i="2" s="1"/>
  <c r="F160" i="2" s="1"/>
  <c r="F153" i="2"/>
  <c r="F152" i="2"/>
  <c r="F151" i="2"/>
  <c r="F150" i="2"/>
  <c r="F149" i="2"/>
  <c r="F146" i="2"/>
  <c r="F145" i="2"/>
  <c r="F144" i="2"/>
  <c r="F143" i="2"/>
  <c r="F142" i="2"/>
  <c r="F141" i="2"/>
  <c r="F137" i="2"/>
  <c r="F138" i="2" s="1"/>
  <c r="F135" i="2" s="1"/>
  <c r="F128" i="2"/>
  <c r="F127" i="2"/>
  <c r="F126" i="2"/>
  <c r="F125" i="2"/>
  <c r="F124" i="2"/>
  <c r="F121" i="2"/>
  <c r="F120" i="2"/>
  <c r="F119" i="2"/>
  <c r="F118" i="2"/>
  <c r="F117" i="2"/>
  <c r="F116" i="2"/>
  <c r="F112" i="2"/>
  <c r="F113" i="2" s="1"/>
  <c r="F110" i="2" s="1"/>
  <c r="F103" i="2"/>
  <c r="F102" i="2"/>
  <c r="F101" i="2"/>
  <c r="F100" i="2"/>
  <c r="F99" i="2"/>
  <c r="F97" i="2" s="1"/>
  <c r="F96" i="2"/>
  <c r="F95" i="2"/>
  <c r="F94" i="2"/>
  <c r="F93" i="2"/>
  <c r="F92" i="2"/>
  <c r="F91" i="2"/>
  <c r="F87" i="2"/>
  <c r="F88" i="2" s="1"/>
  <c r="F85" i="2" s="1"/>
  <c r="F76" i="2"/>
  <c r="F75" i="2"/>
  <c r="F74" i="2"/>
  <c r="F73" i="2"/>
  <c r="F72" i="2"/>
  <c r="F69" i="2"/>
  <c r="F68" i="2"/>
  <c r="F67" i="2"/>
  <c r="F66" i="2"/>
  <c r="F65" i="2"/>
  <c r="F64" i="2"/>
  <c r="F60" i="2"/>
  <c r="F61" i="2" s="1"/>
  <c r="F58" i="2" s="1"/>
  <c r="F49" i="2"/>
  <c r="F48" i="2"/>
  <c r="F47" i="2"/>
  <c r="F46" i="2"/>
  <c r="F45" i="2"/>
  <c r="F44" i="2"/>
  <c r="F43" i="2"/>
  <c r="F40" i="2"/>
  <c r="F39" i="2"/>
  <c r="F38" i="2"/>
  <c r="F37" i="2"/>
  <c r="F36" i="2"/>
  <c r="F35" i="2"/>
  <c r="F31" i="2"/>
  <c r="F32" i="2" s="1"/>
  <c r="F29" i="2" s="1"/>
  <c r="F8" i="2"/>
  <c r="F17" i="2"/>
  <c r="F18" i="2"/>
  <c r="F19" i="2"/>
  <c r="F20" i="2"/>
  <c r="F21" i="2"/>
  <c r="F22" i="2"/>
  <c r="F16" i="2"/>
  <c r="F9" i="2"/>
  <c r="F10" i="2"/>
  <c r="F11" i="2"/>
  <c r="F12" i="2"/>
  <c r="F13" i="2"/>
  <c r="D3" i="3"/>
  <c r="D2" i="3"/>
  <c r="C2" i="3"/>
  <c r="F4" i="2"/>
  <c r="N15" i="2" l="1"/>
  <c r="N23" i="2" s="1"/>
  <c r="F147" i="2"/>
  <c r="F33" i="2"/>
  <c r="F198" i="2"/>
  <c r="F70" i="2"/>
  <c r="F114" i="2"/>
  <c r="F122" i="2"/>
  <c r="F41" i="2"/>
  <c r="F51" i="2" s="1"/>
  <c r="F52" i="2" s="1"/>
  <c r="F53" i="2" s="1"/>
  <c r="F190" i="2"/>
  <c r="F172" i="2"/>
  <c r="F164" i="2"/>
  <c r="K21" i="2" s="1"/>
  <c r="F139" i="2"/>
  <c r="F89" i="2"/>
  <c r="F62" i="2"/>
  <c r="F155" i="2"/>
  <c r="F156" i="2" s="1"/>
  <c r="F157" i="2" s="1"/>
  <c r="F130" i="2"/>
  <c r="F131" i="2" s="1"/>
  <c r="F132" i="2" s="1"/>
  <c r="F105" i="2"/>
  <c r="F106" i="2" s="1"/>
  <c r="F107" i="2" s="1"/>
  <c r="F14" i="2"/>
  <c r="F6" i="2"/>
  <c r="F5" i="2"/>
  <c r="F2" i="2" s="1"/>
  <c r="F206" i="2" l="1"/>
  <c r="F207" i="2" s="1"/>
  <c r="F208" i="2" s="1"/>
  <c r="J9" i="2" s="1"/>
  <c r="K9" i="2" s="1"/>
  <c r="L9" i="2" s="1"/>
  <c r="K22" i="2"/>
  <c r="K23" i="2" s="1"/>
  <c r="F180" i="2"/>
  <c r="F181" i="2" s="1"/>
  <c r="F182" i="2" s="1"/>
  <c r="J8" i="2" s="1"/>
  <c r="F78" i="2"/>
  <c r="F79" i="2" s="1"/>
  <c r="F80" i="2" s="1"/>
  <c r="F24" i="2"/>
  <c r="F26" i="2" s="1"/>
  <c r="J10" i="2" l="1"/>
  <c r="K8" i="2"/>
  <c r="K10" i="2" l="1"/>
  <c r="L10" i="2" s="1"/>
  <c r="L8" i="2"/>
</calcChain>
</file>

<file path=xl/sharedStrings.xml><?xml version="1.0" encoding="utf-8"?>
<sst xmlns="http://schemas.openxmlformats.org/spreadsheetml/2006/main" count="268" uniqueCount="37">
  <si>
    <t>Sprint 1</t>
  </si>
  <si>
    <t>Mano de Obra</t>
  </si>
  <si>
    <t>Horas</t>
  </si>
  <si>
    <t>Cantidad</t>
  </si>
  <si>
    <t>Total</t>
  </si>
  <si>
    <t>Personas</t>
  </si>
  <si>
    <t>Costo Hora</t>
  </si>
  <si>
    <t>Costo  Infraestructura</t>
  </si>
  <si>
    <t>Servidor cloud (cómputo — AWS/DigitalOcean)</t>
  </si>
  <si>
    <t>Base de datos administrada PostgreSQL</t>
  </si>
  <si>
    <t>Almacenamiento de objetos (fotos/guiones)</t>
  </si>
  <si>
    <t>Dominio .com + certificado SSL</t>
  </si>
  <si>
    <t>Notificaciones push (Firebase Cloud Messaging)</t>
  </si>
  <si>
    <t>Correo transaccional (SendGrid)</t>
  </si>
  <si>
    <t>Factor Prestacional 40%</t>
  </si>
  <si>
    <t>Herramientas</t>
  </si>
  <si>
    <t>GitHub (repositorio — plan Education)</t>
  </si>
  <si>
    <t>VS Code / PyCharm Community</t>
  </si>
  <si>
    <t>Figma Professional (mockups y prototipado)</t>
  </si>
  <si>
    <t>Canva</t>
  </si>
  <si>
    <t>IA Claude</t>
  </si>
  <si>
    <t>Suite ofimática (documentación del proyecto)</t>
  </si>
  <si>
    <t xml:space="preserve">ClickUp </t>
  </si>
  <si>
    <t>Costo Mensual</t>
  </si>
  <si>
    <t>Subtotal</t>
  </si>
  <si>
    <t>Imprevistos 15%</t>
  </si>
  <si>
    <t>Sprint 2</t>
  </si>
  <si>
    <t>Sprint 3</t>
  </si>
  <si>
    <t>Sprint 4</t>
  </si>
  <si>
    <t>Sprint 5</t>
  </si>
  <si>
    <t>Sprint 6</t>
  </si>
  <si>
    <t>Sprint 7</t>
  </si>
  <si>
    <t>Sprint 8</t>
  </si>
  <si>
    <t>Ganancia 30%</t>
  </si>
  <si>
    <t>Total + Ganacia</t>
  </si>
  <si>
    <t>Insfrastructura</t>
  </si>
  <si>
    <t>Total + Imprevistos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</si>
</sst>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249977111117893"/>
      </left>
      <right style="dashed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dashed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/>
      <right/>
      <top style="dashed">
        <color theme="0" tint="-0.249977111117893"/>
      </top>
      <bottom style="dashed">
        <color theme="0" tint="-0.249977111117893"/>
      </bottom>
      <diagonal/>
    </border>
    <border>
      <left/>
      <right style="dashed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dashed">
        <color theme="0" tint="-0.249977111117893"/>
      </left>
      <right style="medium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/>
      <right style="dashed">
        <color theme="0" tint="-0.249977111117893"/>
      </right>
      <top/>
      <bottom style="dashed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1" xfId="0" applyBorder="1"/>
    <xf numFmtId="3" fontId="0" fillId="0" borderId="1" xfId="0" applyNumberFormat="1" applyBorder="1"/>
    <xf numFmtId="3" fontId="1" fillId="0" borderId="0" xfId="0" applyNumberFormat="1" applyFont="1"/>
    <xf numFmtId="0" fontId="3" fillId="0" borderId="0" xfId="0" applyFont="1"/>
    <xf numFmtId="3" fontId="1" fillId="0" borderId="1" xfId="0" applyNumberFormat="1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2" fillId="2" borderId="5" xfId="0" applyFont="1" applyFill="1" applyBorder="1" applyAlignment="1">
      <alignment horizontal="center"/>
    </xf>
    <xf numFmtId="0" fontId="0" fillId="0" borderId="2" xfId="0" applyBorder="1"/>
    <xf numFmtId="0" fontId="0" fillId="0" borderId="6" xfId="0" applyBorder="1"/>
    <xf numFmtId="3" fontId="0" fillId="0" borderId="2" xfId="0" applyNumberFormat="1" applyBorder="1"/>
    <xf numFmtId="3" fontId="0" fillId="0" borderId="7" xfId="0" applyNumberFormat="1" applyBorder="1"/>
    <xf numFmtId="3" fontId="1" fillId="0" borderId="8" xfId="0" applyNumberFormat="1" applyFont="1" applyBorder="1"/>
    <xf numFmtId="0" fontId="2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095D-73A9-4C7D-8252-55E2182290E4}">
  <dimension ref="A1:N208"/>
  <sheetViews>
    <sheetView showGridLines="0" tabSelected="1" workbookViewId="0">
      <selection activeCell="H13" sqref="H13"/>
    </sheetView>
  </sheetViews>
  <sheetFormatPr baseColWidth="10" defaultRowHeight="14.4" x14ac:dyDescent="0.3"/>
  <cols>
    <col min="2" max="2" width="39.6640625" bestFit="1" customWidth="1"/>
    <col min="10" max="10" width="13" bestFit="1" customWidth="1"/>
    <col min="11" max="11" width="13.77734375" bestFit="1" customWidth="1"/>
    <col min="12" max="12" width="14.33203125" bestFit="1" customWidth="1"/>
    <col min="14" max="14" width="16.88671875" bestFit="1" customWidth="1"/>
  </cols>
  <sheetData>
    <row r="1" spans="1:14" x14ac:dyDescent="0.3">
      <c r="J1" s="4" t="s">
        <v>4</v>
      </c>
      <c r="K1" s="4" t="s">
        <v>33</v>
      </c>
      <c r="L1" s="4" t="s">
        <v>34</v>
      </c>
    </row>
    <row r="2" spans="1:14" x14ac:dyDescent="0.3">
      <c r="B2" s="4" t="s">
        <v>1</v>
      </c>
      <c r="F2" s="8">
        <f>SUM(F4:F5)</f>
        <v>13440000</v>
      </c>
      <c r="I2" s="4" t="s">
        <v>0</v>
      </c>
      <c r="J2" s="2">
        <f>F26</f>
        <v>16479500</v>
      </c>
      <c r="K2" s="2">
        <f>(J2/0.7)-J2</f>
        <v>7062642.8571428582</v>
      </c>
      <c r="L2" s="2">
        <f>K2+J2</f>
        <v>23542142.857142858</v>
      </c>
    </row>
    <row r="3" spans="1:14" ht="15.6" x14ac:dyDescent="0.3">
      <c r="A3" s="9" t="s">
        <v>0</v>
      </c>
      <c r="C3" s="4" t="s">
        <v>2</v>
      </c>
      <c r="D3" s="4" t="s">
        <v>6</v>
      </c>
      <c r="E3" s="4" t="s">
        <v>5</v>
      </c>
      <c r="F3" s="4" t="s">
        <v>4</v>
      </c>
      <c r="I3" s="4" t="s">
        <v>26</v>
      </c>
      <c r="J3" s="2">
        <f>F53</f>
        <v>16479500</v>
      </c>
      <c r="K3" s="2">
        <f t="shared" ref="K3:K9" si="0">(J3/0.7)-J3</f>
        <v>7062642.8571428582</v>
      </c>
      <c r="L3" s="2">
        <f t="shared" ref="L3:L10" si="1">K3+J3</f>
        <v>23542142.857142858</v>
      </c>
    </row>
    <row r="4" spans="1:14" x14ac:dyDescent="0.3">
      <c r="B4" s="6" t="s">
        <v>1</v>
      </c>
      <c r="C4" s="6">
        <v>80</v>
      </c>
      <c r="D4" s="7">
        <v>30000</v>
      </c>
      <c r="E4" s="6">
        <v>4</v>
      </c>
      <c r="F4" s="7">
        <f>E4*C4*D4</f>
        <v>9600000</v>
      </c>
      <c r="G4" s="2"/>
      <c r="H4" s="2"/>
      <c r="I4" s="4" t="s">
        <v>27</v>
      </c>
      <c r="J4" s="2">
        <f>F80</f>
        <v>16295500</v>
      </c>
      <c r="K4" s="2">
        <f t="shared" si="0"/>
        <v>6983785.7142857164</v>
      </c>
      <c r="L4" s="2">
        <f t="shared" si="1"/>
        <v>23279285.714285716</v>
      </c>
    </row>
    <row r="5" spans="1:14" x14ac:dyDescent="0.3">
      <c r="B5" s="6" t="s">
        <v>14</v>
      </c>
      <c r="C5" s="6"/>
      <c r="D5" s="6"/>
      <c r="E5" s="6"/>
      <c r="F5" s="7">
        <f>F4*0.4</f>
        <v>3840000</v>
      </c>
      <c r="I5" s="4" t="s">
        <v>28</v>
      </c>
      <c r="J5" s="2">
        <f>F107</f>
        <v>16295500</v>
      </c>
      <c r="K5" s="2">
        <f t="shared" si="0"/>
        <v>6983785.7142857164</v>
      </c>
      <c r="L5" s="2">
        <f t="shared" si="1"/>
        <v>23279285.714285716</v>
      </c>
    </row>
    <row r="6" spans="1:14" x14ac:dyDescent="0.3">
      <c r="B6" s="4" t="s">
        <v>7</v>
      </c>
      <c r="F6" s="8">
        <f>SUM(F8:F13)</f>
        <v>370000</v>
      </c>
      <c r="I6" s="4" t="s">
        <v>29</v>
      </c>
      <c r="J6" s="2">
        <f>F132</f>
        <v>16295500</v>
      </c>
      <c r="K6" s="2">
        <f t="shared" si="0"/>
        <v>6983785.7142857164</v>
      </c>
      <c r="L6" s="2">
        <f t="shared" si="1"/>
        <v>23279285.714285716</v>
      </c>
    </row>
    <row r="7" spans="1:14" x14ac:dyDescent="0.3">
      <c r="B7" s="3"/>
      <c r="C7" s="5" t="s">
        <v>23</v>
      </c>
      <c r="D7" s="5"/>
      <c r="E7" s="4" t="s">
        <v>3</v>
      </c>
      <c r="F7" s="4" t="s">
        <v>4</v>
      </c>
      <c r="I7" s="4" t="s">
        <v>30</v>
      </c>
      <c r="J7" s="2">
        <f>F157</f>
        <v>16295500</v>
      </c>
      <c r="K7" s="2">
        <f t="shared" si="0"/>
        <v>6983785.7142857164</v>
      </c>
      <c r="L7" s="2">
        <f t="shared" si="1"/>
        <v>23279285.714285716</v>
      </c>
    </row>
    <row r="8" spans="1:14" x14ac:dyDescent="0.3">
      <c r="B8" s="15" t="s">
        <v>8</v>
      </c>
      <c r="C8" s="17">
        <v>180000</v>
      </c>
      <c r="D8" s="13"/>
      <c r="E8" s="13">
        <v>1</v>
      </c>
      <c r="F8" s="7">
        <f>E8*C8</f>
        <v>180000</v>
      </c>
      <c r="I8" s="4" t="s">
        <v>31</v>
      </c>
      <c r="J8" s="2">
        <f>F182</f>
        <v>16347250</v>
      </c>
      <c r="K8" s="2">
        <f t="shared" si="0"/>
        <v>7005964.2857142873</v>
      </c>
      <c r="L8" s="2">
        <f t="shared" si="1"/>
        <v>23353214.285714287</v>
      </c>
    </row>
    <row r="9" spans="1:14" ht="15" thickBot="1" x14ac:dyDescent="0.35">
      <c r="B9" s="15" t="s">
        <v>9</v>
      </c>
      <c r="C9" s="17">
        <v>150000</v>
      </c>
      <c r="D9" s="16"/>
      <c r="E9" s="13">
        <v>1</v>
      </c>
      <c r="F9" s="7">
        <f t="shared" ref="F9:F13" si="2">E9*C9</f>
        <v>150000</v>
      </c>
      <c r="I9" s="4" t="s">
        <v>32</v>
      </c>
      <c r="J9" s="18">
        <f>F208</f>
        <v>16347250</v>
      </c>
      <c r="K9" s="18">
        <f t="shared" si="0"/>
        <v>7005964.2857142873</v>
      </c>
      <c r="L9" s="18">
        <f t="shared" si="1"/>
        <v>23353214.285714287</v>
      </c>
    </row>
    <row r="10" spans="1:14" ht="15" thickBot="1" x14ac:dyDescent="0.35">
      <c r="B10" s="15" t="s">
        <v>10</v>
      </c>
      <c r="C10" s="17">
        <v>40000</v>
      </c>
      <c r="D10" s="13"/>
      <c r="E10" s="13">
        <v>1</v>
      </c>
      <c r="F10" s="7">
        <f t="shared" si="2"/>
        <v>40000</v>
      </c>
      <c r="J10" s="19">
        <f>SUM(J2:J9)</f>
        <v>130835500</v>
      </c>
      <c r="K10" s="19">
        <f>SUM(K2:K9)</f>
        <v>56072357.142857149</v>
      </c>
      <c r="L10" s="19">
        <f t="shared" si="1"/>
        <v>186907857.14285713</v>
      </c>
    </row>
    <row r="11" spans="1:14" x14ac:dyDescent="0.3">
      <c r="B11" s="15" t="s">
        <v>11</v>
      </c>
      <c r="C11" s="17">
        <v>0</v>
      </c>
      <c r="D11" s="13"/>
      <c r="E11" s="13">
        <v>1</v>
      </c>
      <c r="F11" s="7">
        <f t="shared" si="2"/>
        <v>0</v>
      </c>
    </row>
    <row r="12" spans="1:14" x14ac:dyDescent="0.3">
      <c r="B12" s="15" t="s">
        <v>12</v>
      </c>
      <c r="C12" s="17">
        <v>0</v>
      </c>
      <c r="D12" s="13"/>
      <c r="E12" s="13">
        <v>1</v>
      </c>
      <c r="F12" s="7">
        <f t="shared" si="2"/>
        <v>0</v>
      </c>
    </row>
    <row r="13" spans="1:14" x14ac:dyDescent="0.3">
      <c r="B13" s="15" t="s">
        <v>13</v>
      </c>
      <c r="C13" s="17">
        <v>0</v>
      </c>
      <c r="D13" s="13"/>
      <c r="E13" s="13">
        <v>1</v>
      </c>
      <c r="F13" s="7">
        <f t="shared" si="2"/>
        <v>0</v>
      </c>
    </row>
    <row r="14" spans="1:14" x14ac:dyDescent="0.3">
      <c r="B14" s="4" t="s">
        <v>15</v>
      </c>
      <c r="F14" s="8">
        <f>SUM(F16:F22)</f>
        <v>520000</v>
      </c>
      <c r="J14" s="20" t="s">
        <v>1</v>
      </c>
      <c r="K14" s="20" t="s">
        <v>35</v>
      </c>
      <c r="L14" s="20" t="s">
        <v>15</v>
      </c>
      <c r="M14" s="20" t="s">
        <v>4</v>
      </c>
      <c r="N14" s="20" t="s">
        <v>36</v>
      </c>
    </row>
    <row r="15" spans="1:14" x14ac:dyDescent="0.3">
      <c r="C15" s="5" t="s">
        <v>23</v>
      </c>
      <c r="D15" s="5"/>
      <c r="E15" s="4" t="s">
        <v>3</v>
      </c>
      <c r="F15" s="4" t="s">
        <v>4</v>
      </c>
      <c r="I15" s="4" t="s">
        <v>0</v>
      </c>
      <c r="J15" s="7">
        <f>F2</f>
        <v>13440000</v>
      </c>
      <c r="K15" s="7">
        <f>F6</f>
        <v>370000</v>
      </c>
      <c r="L15" s="7">
        <f>F14</f>
        <v>520000</v>
      </c>
      <c r="M15" s="7">
        <f>SUM(J15:L15)</f>
        <v>14330000</v>
      </c>
      <c r="N15" s="7">
        <f>M15*1.15</f>
        <v>16479499.999999998</v>
      </c>
    </row>
    <row r="16" spans="1:14" x14ac:dyDescent="0.3">
      <c r="B16" s="15" t="s">
        <v>22</v>
      </c>
      <c r="C16" s="17">
        <v>0</v>
      </c>
      <c r="D16" s="13"/>
      <c r="E16" s="13">
        <v>4</v>
      </c>
      <c r="F16" s="7">
        <f>E16*C16</f>
        <v>0</v>
      </c>
      <c r="I16" s="4" t="s">
        <v>26</v>
      </c>
      <c r="J16" s="7">
        <f>F29</f>
        <v>13440000</v>
      </c>
      <c r="K16" s="7">
        <f>F33</f>
        <v>370000</v>
      </c>
      <c r="L16" s="7">
        <f>F41</f>
        <v>520000</v>
      </c>
      <c r="M16" s="7">
        <f t="shared" ref="M16:M22" si="3">SUM(J16:L16)</f>
        <v>14330000</v>
      </c>
      <c r="N16" s="7">
        <f t="shared" ref="N16:N22" si="4">M16*1.15</f>
        <v>16479499.999999998</v>
      </c>
    </row>
    <row r="17" spans="1:14" x14ac:dyDescent="0.3">
      <c r="B17" s="15" t="s">
        <v>16</v>
      </c>
      <c r="C17" s="17">
        <v>0</v>
      </c>
      <c r="D17" s="13"/>
      <c r="E17" s="13">
        <v>4</v>
      </c>
      <c r="F17" s="7">
        <f t="shared" ref="F17:F22" si="5">E17*C17</f>
        <v>0</v>
      </c>
      <c r="I17" s="4" t="s">
        <v>27</v>
      </c>
      <c r="J17" s="7">
        <f>F58</f>
        <v>13440000</v>
      </c>
      <c r="K17" s="7">
        <f>F62</f>
        <v>370000</v>
      </c>
      <c r="L17" s="7">
        <f>F70</f>
        <v>360000</v>
      </c>
      <c r="M17" s="7">
        <f t="shared" si="3"/>
        <v>14170000</v>
      </c>
      <c r="N17" s="7">
        <f t="shared" si="4"/>
        <v>16295499.999999998</v>
      </c>
    </row>
    <row r="18" spans="1:14" x14ac:dyDescent="0.3">
      <c r="B18" s="15" t="s">
        <v>17</v>
      </c>
      <c r="C18" s="17">
        <v>0</v>
      </c>
      <c r="D18" s="13"/>
      <c r="E18" s="13">
        <v>4</v>
      </c>
      <c r="F18" s="7">
        <f t="shared" si="5"/>
        <v>0</v>
      </c>
      <c r="I18" s="4" t="s">
        <v>28</v>
      </c>
      <c r="J18" s="7">
        <f>F85</f>
        <v>13440000</v>
      </c>
      <c r="K18" s="7">
        <f>F89</f>
        <v>370000</v>
      </c>
      <c r="L18" s="7">
        <f>F97</f>
        <v>360000</v>
      </c>
      <c r="M18" s="7">
        <f t="shared" si="3"/>
        <v>14170000</v>
      </c>
      <c r="N18" s="7">
        <f t="shared" si="4"/>
        <v>16295499.999999998</v>
      </c>
    </row>
    <row r="19" spans="1:14" x14ac:dyDescent="0.3">
      <c r="B19" s="15" t="s">
        <v>18</v>
      </c>
      <c r="C19" s="17">
        <v>90000</v>
      </c>
      <c r="D19" s="13"/>
      <c r="E19" s="13">
        <v>1</v>
      </c>
      <c r="F19" s="7">
        <f t="shared" si="5"/>
        <v>90000</v>
      </c>
      <c r="I19" s="4" t="s">
        <v>29</v>
      </c>
      <c r="J19" s="7">
        <f>F110</f>
        <v>13440000</v>
      </c>
      <c r="K19" s="7">
        <f>F114</f>
        <v>370000</v>
      </c>
      <c r="L19" s="7">
        <f>F122</f>
        <v>360000</v>
      </c>
      <c r="M19" s="7">
        <f t="shared" si="3"/>
        <v>14170000</v>
      </c>
      <c r="N19" s="7">
        <f t="shared" si="4"/>
        <v>16295499.999999998</v>
      </c>
    </row>
    <row r="20" spans="1:14" x14ac:dyDescent="0.3">
      <c r="B20" s="15" t="s">
        <v>19</v>
      </c>
      <c r="C20" s="17">
        <v>70000</v>
      </c>
      <c r="D20" s="13"/>
      <c r="E20" s="13">
        <v>1</v>
      </c>
      <c r="F20" s="7">
        <f t="shared" si="5"/>
        <v>70000</v>
      </c>
      <c r="I20" s="4" t="s">
        <v>30</v>
      </c>
      <c r="J20" s="7">
        <f>F135</f>
        <v>13440000</v>
      </c>
      <c r="K20" s="7">
        <f>F139</f>
        <v>370000</v>
      </c>
      <c r="L20" s="7">
        <f>F147</f>
        <v>360000</v>
      </c>
      <c r="M20" s="7">
        <f t="shared" si="3"/>
        <v>14170000</v>
      </c>
      <c r="N20" s="7">
        <f t="shared" si="4"/>
        <v>16295499.999999998</v>
      </c>
    </row>
    <row r="21" spans="1:14" x14ac:dyDescent="0.3">
      <c r="B21" s="15" t="s">
        <v>20</v>
      </c>
      <c r="C21" s="17">
        <v>90000</v>
      </c>
      <c r="D21" s="13"/>
      <c r="E21" s="13">
        <v>4</v>
      </c>
      <c r="F21" s="7">
        <f t="shared" si="5"/>
        <v>360000</v>
      </c>
      <c r="I21" s="4" t="s">
        <v>31</v>
      </c>
      <c r="J21" s="7">
        <f>F160</f>
        <v>13440000</v>
      </c>
      <c r="K21" s="7">
        <f>F164</f>
        <v>415000</v>
      </c>
      <c r="L21" s="7">
        <f>F172</f>
        <v>360000</v>
      </c>
      <c r="M21" s="7">
        <f t="shared" si="3"/>
        <v>14215000</v>
      </c>
      <c r="N21" s="7">
        <f t="shared" si="4"/>
        <v>16347249.999999998</v>
      </c>
    </row>
    <row r="22" spans="1:14" ht="15" thickBot="1" x14ac:dyDescent="0.35">
      <c r="B22" s="15" t="s">
        <v>21</v>
      </c>
      <c r="C22" s="17">
        <v>0</v>
      </c>
      <c r="D22" s="13"/>
      <c r="E22" s="13">
        <v>4</v>
      </c>
      <c r="F22" s="7">
        <f t="shared" si="5"/>
        <v>0</v>
      </c>
      <c r="I22" s="4" t="s">
        <v>32</v>
      </c>
      <c r="J22" s="7">
        <f>F186</f>
        <v>13440000</v>
      </c>
      <c r="K22" s="7">
        <f>F190</f>
        <v>415000</v>
      </c>
      <c r="L22" s="7">
        <f>F198</f>
        <v>360000</v>
      </c>
      <c r="M22" s="7">
        <f t="shared" si="3"/>
        <v>14215000</v>
      </c>
      <c r="N22" s="7">
        <f t="shared" si="4"/>
        <v>16347249.999999998</v>
      </c>
    </row>
    <row r="23" spans="1:14" ht="15" thickBot="1" x14ac:dyDescent="0.35">
      <c r="J23" s="19">
        <f>SUM(J15:J22)</f>
        <v>107520000</v>
      </c>
      <c r="K23" s="19">
        <f t="shared" ref="K23:L23" si="6">SUM(K15:K22)</f>
        <v>3050000</v>
      </c>
      <c r="L23" s="19">
        <f t="shared" si="6"/>
        <v>3200000</v>
      </c>
      <c r="M23" s="19">
        <f t="shared" ref="M23" si="7">SUM(M15:M22)</f>
        <v>113770000</v>
      </c>
      <c r="N23" s="19">
        <f t="shared" ref="N23" si="8">SUM(N15:N22)</f>
        <v>130835499.99999999</v>
      </c>
    </row>
    <row r="24" spans="1:14" x14ac:dyDescent="0.3">
      <c r="B24" s="11" t="s">
        <v>24</v>
      </c>
      <c r="C24" s="12"/>
      <c r="D24" s="12"/>
      <c r="E24" s="13"/>
      <c r="F24" s="7">
        <f>SUM(F14+F6+F2)</f>
        <v>14330000</v>
      </c>
    </row>
    <row r="25" spans="1:14" x14ac:dyDescent="0.3">
      <c r="B25" s="11" t="s">
        <v>25</v>
      </c>
      <c r="C25" s="12"/>
      <c r="D25" s="12"/>
      <c r="E25" s="13"/>
      <c r="F25" s="7">
        <f>F24*0.15</f>
        <v>2149500</v>
      </c>
    </row>
    <row r="26" spans="1:14" x14ac:dyDescent="0.3">
      <c r="B26" s="14" t="s">
        <v>4</v>
      </c>
      <c r="C26" s="12"/>
      <c r="D26" s="12"/>
      <c r="E26" s="13"/>
      <c r="F26" s="10">
        <f>F25+F24</f>
        <v>16479500</v>
      </c>
    </row>
    <row r="29" spans="1:14" x14ac:dyDescent="0.3">
      <c r="B29" s="4" t="s">
        <v>1</v>
      </c>
      <c r="F29" s="8">
        <f>SUM(F31:F32)</f>
        <v>13440000</v>
      </c>
    </row>
    <row r="30" spans="1:14" ht="15.6" x14ac:dyDescent="0.3">
      <c r="A30" s="9" t="s">
        <v>26</v>
      </c>
      <c r="C30" s="4" t="s">
        <v>2</v>
      </c>
      <c r="D30" s="4" t="s">
        <v>6</v>
      </c>
      <c r="E30" s="4" t="s">
        <v>5</v>
      </c>
      <c r="F30" s="4" t="s">
        <v>4</v>
      </c>
    </row>
    <row r="31" spans="1:14" x14ac:dyDescent="0.3">
      <c r="B31" s="6" t="s">
        <v>1</v>
      </c>
      <c r="C31" s="6">
        <v>80</v>
      </c>
      <c r="D31" s="7">
        <v>30000</v>
      </c>
      <c r="E31" s="6">
        <v>4</v>
      </c>
      <c r="F31" s="7">
        <f>E31*C31*D31</f>
        <v>9600000</v>
      </c>
    </row>
    <row r="32" spans="1:14" x14ac:dyDescent="0.3">
      <c r="B32" s="6" t="s">
        <v>14</v>
      </c>
      <c r="C32" s="6"/>
      <c r="D32" s="6"/>
      <c r="E32" s="6"/>
      <c r="F32" s="7">
        <f>F31*0.4</f>
        <v>3840000</v>
      </c>
    </row>
    <row r="33" spans="2:6" x14ac:dyDescent="0.3">
      <c r="B33" s="4" t="s">
        <v>7</v>
      </c>
      <c r="F33" s="8">
        <f>SUM(F35:F40)</f>
        <v>370000</v>
      </c>
    </row>
    <row r="34" spans="2:6" x14ac:dyDescent="0.3">
      <c r="B34" s="3"/>
      <c r="C34" s="5" t="s">
        <v>23</v>
      </c>
      <c r="D34" s="5"/>
      <c r="E34" s="4" t="s">
        <v>3</v>
      </c>
      <c r="F34" s="4" t="s">
        <v>4</v>
      </c>
    </row>
    <row r="35" spans="2:6" x14ac:dyDescent="0.3">
      <c r="B35" s="15" t="s">
        <v>8</v>
      </c>
      <c r="C35" s="17">
        <v>180000</v>
      </c>
      <c r="D35" s="13"/>
      <c r="E35" s="13">
        <v>1</v>
      </c>
      <c r="F35" s="7">
        <f>E35*C35</f>
        <v>180000</v>
      </c>
    </row>
    <row r="36" spans="2:6" x14ac:dyDescent="0.3">
      <c r="B36" s="15" t="s">
        <v>9</v>
      </c>
      <c r="C36" s="17">
        <v>150000</v>
      </c>
      <c r="D36" s="16"/>
      <c r="E36" s="13">
        <v>1</v>
      </c>
      <c r="F36" s="7">
        <f t="shared" ref="F36:F40" si="9">E36*C36</f>
        <v>150000</v>
      </c>
    </row>
    <row r="37" spans="2:6" x14ac:dyDescent="0.3">
      <c r="B37" s="15" t="s">
        <v>10</v>
      </c>
      <c r="C37" s="17">
        <v>40000</v>
      </c>
      <c r="D37" s="13"/>
      <c r="E37" s="13">
        <v>1</v>
      </c>
      <c r="F37" s="7">
        <f t="shared" si="9"/>
        <v>40000</v>
      </c>
    </row>
    <row r="38" spans="2:6" x14ac:dyDescent="0.3">
      <c r="B38" s="15" t="s">
        <v>11</v>
      </c>
      <c r="C38" s="17">
        <v>0</v>
      </c>
      <c r="D38" s="13"/>
      <c r="E38" s="13">
        <v>1</v>
      </c>
      <c r="F38" s="7">
        <f t="shared" si="9"/>
        <v>0</v>
      </c>
    </row>
    <row r="39" spans="2:6" x14ac:dyDescent="0.3">
      <c r="B39" s="15" t="s">
        <v>12</v>
      </c>
      <c r="C39" s="17">
        <v>0</v>
      </c>
      <c r="D39" s="13"/>
      <c r="E39" s="13">
        <v>1</v>
      </c>
      <c r="F39" s="7">
        <f t="shared" si="9"/>
        <v>0</v>
      </c>
    </row>
    <row r="40" spans="2:6" x14ac:dyDescent="0.3">
      <c r="B40" s="15" t="s">
        <v>13</v>
      </c>
      <c r="C40" s="17">
        <v>0</v>
      </c>
      <c r="D40" s="13"/>
      <c r="E40" s="13">
        <v>1</v>
      </c>
      <c r="F40" s="7">
        <f t="shared" si="9"/>
        <v>0</v>
      </c>
    </row>
    <row r="41" spans="2:6" x14ac:dyDescent="0.3">
      <c r="B41" s="4" t="s">
        <v>15</v>
      </c>
      <c r="F41" s="8">
        <f>SUM(F43:F49)</f>
        <v>520000</v>
      </c>
    </row>
    <row r="42" spans="2:6" x14ac:dyDescent="0.3">
      <c r="C42" s="5" t="s">
        <v>23</v>
      </c>
      <c r="D42" s="5"/>
      <c r="E42" s="4" t="s">
        <v>3</v>
      </c>
      <c r="F42" s="4" t="s">
        <v>4</v>
      </c>
    </row>
    <row r="43" spans="2:6" x14ac:dyDescent="0.3">
      <c r="B43" s="15" t="s">
        <v>22</v>
      </c>
      <c r="C43" s="17">
        <v>0</v>
      </c>
      <c r="D43" s="13"/>
      <c r="E43" s="13">
        <v>4</v>
      </c>
      <c r="F43" s="7">
        <f>E43*C43</f>
        <v>0</v>
      </c>
    </row>
    <row r="44" spans="2:6" x14ac:dyDescent="0.3">
      <c r="B44" s="15" t="s">
        <v>16</v>
      </c>
      <c r="C44" s="17">
        <v>0</v>
      </c>
      <c r="D44" s="13"/>
      <c r="E44" s="13">
        <v>4</v>
      </c>
      <c r="F44" s="7">
        <f t="shared" ref="F44:F49" si="10">E44*C44</f>
        <v>0</v>
      </c>
    </row>
    <row r="45" spans="2:6" x14ac:dyDescent="0.3">
      <c r="B45" s="15" t="s">
        <v>17</v>
      </c>
      <c r="C45" s="17">
        <v>0</v>
      </c>
      <c r="D45" s="13"/>
      <c r="E45" s="13">
        <v>4</v>
      </c>
      <c r="F45" s="7">
        <f t="shared" si="10"/>
        <v>0</v>
      </c>
    </row>
    <row r="46" spans="2:6" x14ac:dyDescent="0.3">
      <c r="B46" s="15" t="s">
        <v>18</v>
      </c>
      <c r="C46" s="17">
        <v>90000</v>
      </c>
      <c r="D46" s="13"/>
      <c r="E46" s="13">
        <v>1</v>
      </c>
      <c r="F46" s="7">
        <f t="shared" si="10"/>
        <v>90000</v>
      </c>
    </row>
    <row r="47" spans="2:6" x14ac:dyDescent="0.3">
      <c r="B47" s="15" t="s">
        <v>19</v>
      </c>
      <c r="C47" s="17">
        <v>70000</v>
      </c>
      <c r="D47" s="13"/>
      <c r="E47" s="13">
        <v>1</v>
      </c>
      <c r="F47" s="7">
        <f t="shared" si="10"/>
        <v>70000</v>
      </c>
    </row>
    <row r="48" spans="2:6" x14ac:dyDescent="0.3">
      <c r="B48" s="15" t="s">
        <v>20</v>
      </c>
      <c r="C48" s="17">
        <v>90000</v>
      </c>
      <c r="D48" s="13"/>
      <c r="E48" s="13">
        <v>4</v>
      </c>
      <c r="F48" s="7">
        <f t="shared" si="10"/>
        <v>360000</v>
      </c>
    </row>
    <row r="49" spans="1:6" x14ac:dyDescent="0.3">
      <c r="B49" s="15" t="s">
        <v>21</v>
      </c>
      <c r="C49" s="17">
        <v>0</v>
      </c>
      <c r="D49" s="13"/>
      <c r="E49" s="13">
        <v>4</v>
      </c>
      <c r="F49" s="7">
        <f t="shared" si="10"/>
        <v>0</v>
      </c>
    </row>
    <row r="51" spans="1:6" x14ac:dyDescent="0.3">
      <c r="B51" s="11" t="s">
        <v>24</v>
      </c>
      <c r="C51" s="12"/>
      <c r="D51" s="12"/>
      <c r="E51" s="13"/>
      <c r="F51" s="7">
        <f>SUM(F41+F33+F29)</f>
        <v>14330000</v>
      </c>
    </row>
    <row r="52" spans="1:6" x14ac:dyDescent="0.3">
      <c r="B52" s="11" t="s">
        <v>25</v>
      </c>
      <c r="C52" s="12"/>
      <c r="D52" s="12"/>
      <c r="E52" s="13"/>
      <c r="F52" s="7">
        <f>F51*0.15</f>
        <v>2149500</v>
      </c>
    </row>
    <row r="53" spans="1:6" x14ac:dyDescent="0.3">
      <c r="B53" s="14" t="s">
        <v>4</v>
      </c>
      <c r="C53" s="12"/>
      <c r="D53" s="12"/>
      <c r="E53" s="13"/>
      <c r="F53" s="10">
        <f>F52+F51</f>
        <v>16479500</v>
      </c>
    </row>
    <row r="58" spans="1:6" x14ac:dyDescent="0.3">
      <c r="B58" s="4" t="s">
        <v>1</v>
      </c>
      <c r="F58" s="8">
        <f>SUM(F60:F61)</f>
        <v>13440000</v>
      </c>
    </row>
    <row r="59" spans="1:6" ht="15.6" x14ac:dyDescent="0.3">
      <c r="A59" s="9" t="s">
        <v>27</v>
      </c>
      <c r="C59" s="4" t="s">
        <v>2</v>
      </c>
      <c r="D59" s="4" t="s">
        <v>6</v>
      </c>
      <c r="E59" s="4" t="s">
        <v>5</v>
      </c>
      <c r="F59" s="4" t="s">
        <v>4</v>
      </c>
    </row>
    <row r="60" spans="1:6" x14ac:dyDescent="0.3">
      <c r="B60" s="6" t="s">
        <v>1</v>
      </c>
      <c r="C60" s="6">
        <v>80</v>
      </c>
      <c r="D60" s="7">
        <v>30000</v>
      </c>
      <c r="E60" s="6">
        <v>4</v>
      </c>
      <c r="F60" s="7">
        <f>E60*C60*D60</f>
        <v>9600000</v>
      </c>
    </row>
    <row r="61" spans="1:6" x14ac:dyDescent="0.3">
      <c r="B61" s="6" t="s">
        <v>14</v>
      </c>
      <c r="C61" s="6"/>
      <c r="D61" s="6"/>
      <c r="E61" s="6"/>
      <c r="F61" s="7">
        <f>F60*0.4</f>
        <v>3840000</v>
      </c>
    </row>
    <row r="62" spans="1:6" x14ac:dyDescent="0.3">
      <c r="B62" s="4" t="s">
        <v>7</v>
      </c>
      <c r="F62" s="8">
        <f>SUM(F64:F69)</f>
        <v>370000</v>
      </c>
    </row>
    <row r="63" spans="1:6" x14ac:dyDescent="0.3">
      <c r="B63" s="3"/>
      <c r="C63" s="5" t="s">
        <v>23</v>
      </c>
      <c r="D63" s="5"/>
      <c r="E63" s="4" t="s">
        <v>3</v>
      </c>
      <c r="F63" s="4" t="s">
        <v>4</v>
      </c>
    </row>
    <row r="64" spans="1:6" x14ac:dyDescent="0.3">
      <c r="B64" s="15" t="s">
        <v>8</v>
      </c>
      <c r="C64" s="17">
        <v>180000</v>
      </c>
      <c r="D64" s="13"/>
      <c r="E64" s="13">
        <v>1</v>
      </c>
      <c r="F64" s="7">
        <f>E64*C64</f>
        <v>180000</v>
      </c>
    </row>
    <row r="65" spans="2:6" x14ac:dyDescent="0.3">
      <c r="B65" s="15" t="s">
        <v>9</v>
      </c>
      <c r="C65" s="17">
        <v>150000</v>
      </c>
      <c r="D65" s="16"/>
      <c r="E65" s="13">
        <v>1</v>
      </c>
      <c r="F65" s="7">
        <f t="shared" ref="F65:F69" si="11">E65*C65</f>
        <v>150000</v>
      </c>
    </row>
    <row r="66" spans="2:6" x14ac:dyDescent="0.3">
      <c r="B66" s="15" t="s">
        <v>10</v>
      </c>
      <c r="C66" s="17">
        <v>40000</v>
      </c>
      <c r="D66" s="13"/>
      <c r="E66" s="13">
        <v>1</v>
      </c>
      <c r="F66" s="7">
        <f t="shared" si="11"/>
        <v>40000</v>
      </c>
    </row>
    <row r="67" spans="2:6" x14ac:dyDescent="0.3">
      <c r="B67" s="15" t="s">
        <v>11</v>
      </c>
      <c r="C67" s="17">
        <v>0</v>
      </c>
      <c r="D67" s="13"/>
      <c r="E67" s="13">
        <v>1</v>
      </c>
      <c r="F67" s="7">
        <f t="shared" si="11"/>
        <v>0</v>
      </c>
    </row>
    <row r="68" spans="2:6" x14ac:dyDescent="0.3">
      <c r="B68" s="15" t="s">
        <v>12</v>
      </c>
      <c r="C68" s="17">
        <v>0</v>
      </c>
      <c r="D68" s="13"/>
      <c r="E68" s="13">
        <v>1</v>
      </c>
      <c r="F68" s="7">
        <f t="shared" si="11"/>
        <v>0</v>
      </c>
    </row>
    <row r="69" spans="2:6" x14ac:dyDescent="0.3">
      <c r="B69" s="15" t="s">
        <v>13</v>
      </c>
      <c r="C69" s="17">
        <v>0</v>
      </c>
      <c r="D69" s="13"/>
      <c r="E69" s="13">
        <v>1</v>
      </c>
      <c r="F69" s="7">
        <f t="shared" si="11"/>
        <v>0</v>
      </c>
    </row>
    <row r="70" spans="2:6" x14ac:dyDescent="0.3">
      <c r="B70" s="4" t="s">
        <v>15</v>
      </c>
      <c r="F70" s="8">
        <f>SUM(F72:F76)</f>
        <v>360000</v>
      </c>
    </row>
    <row r="71" spans="2:6" x14ac:dyDescent="0.3">
      <c r="C71" s="5" t="s">
        <v>23</v>
      </c>
      <c r="D71" s="5"/>
      <c r="E71" s="4" t="s">
        <v>3</v>
      </c>
      <c r="F71" s="4" t="s">
        <v>4</v>
      </c>
    </row>
    <row r="72" spans="2:6" x14ac:dyDescent="0.3">
      <c r="B72" s="15" t="s">
        <v>22</v>
      </c>
      <c r="C72" s="17">
        <v>0</v>
      </c>
      <c r="D72" s="13"/>
      <c r="E72" s="13">
        <v>4</v>
      </c>
      <c r="F72" s="7">
        <f>E72*C72</f>
        <v>0</v>
      </c>
    </row>
    <row r="73" spans="2:6" x14ac:dyDescent="0.3">
      <c r="B73" s="15" t="s">
        <v>16</v>
      </c>
      <c r="C73" s="17">
        <v>0</v>
      </c>
      <c r="D73" s="13"/>
      <c r="E73" s="13">
        <v>4</v>
      </c>
      <c r="F73" s="7">
        <f t="shared" ref="F73:F76" si="12">E73*C73</f>
        <v>0</v>
      </c>
    </row>
    <row r="74" spans="2:6" x14ac:dyDescent="0.3">
      <c r="B74" s="15" t="s">
        <v>17</v>
      </c>
      <c r="C74" s="17">
        <v>0</v>
      </c>
      <c r="D74" s="13"/>
      <c r="E74" s="13">
        <v>4</v>
      </c>
      <c r="F74" s="7">
        <f t="shared" si="12"/>
        <v>0</v>
      </c>
    </row>
    <row r="75" spans="2:6" x14ac:dyDescent="0.3">
      <c r="B75" s="15" t="s">
        <v>20</v>
      </c>
      <c r="C75" s="17">
        <v>90000</v>
      </c>
      <c r="D75" s="13"/>
      <c r="E75" s="13">
        <v>4</v>
      </c>
      <c r="F75" s="7">
        <f t="shared" si="12"/>
        <v>360000</v>
      </c>
    </row>
    <row r="76" spans="2:6" x14ac:dyDescent="0.3">
      <c r="B76" s="15" t="s">
        <v>21</v>
      </c>
      <c r="C76" s="17">
        <v>0</v>
      </c>
      <c r="D76" s="13"/>
      <c r="E76" s="13">
        <v>4</v>
      </c>
      <c r="F76" s="7">
        <f t="shared" si="12"/>
        <v>0</v>
      </c>
    </row>
    <row r="78" spans="2:6" x14ac:dyDescent="0.3">
      <c r="B78" s="11" t="s">
        <v>24</v>
      </c>
      <c r="C78" s="12"/>
      <c r="D78" s="12"/>
      <c r="E78" s="13"/>
      <c r="F78" s="7">
        <f>SUM(F70+F62+F58)</f>
        <v>14170000</v>
      </c>
    </row>
    <row r="79" spans="2:6" x14ac:dyDescent="0.3">
      <c r="B79" s="11" t="s">
        <v>25</v>
      </c>
      <c r="C79" s="12"/>
      <c r="D79" s="12"/>
      <c r="E79" s="13"/>
      <c r="F79" s="7">
        <f>F78*0.15</f>
        <v>2125500</v>
      </c>
    </row>
    <row r="80" spans="2:6" x14ac:dyDescent="0.3">
      <c r="B80" s="14" t="s">
        <v>4</v>
      </c>
      <c r="C80" s="12"/>
      <c r="D80" s="12"/>
      <c r="E80" s="13"/>
      <c r="F80" s="10">
        <f>F79+F78</f>
        <v>16295500</v>
      </c>
    </row>
    <row r="85" spans="1:6" x14ac:dyDescent="0.3">
      <c r="B85" s="4" t="s">
        <v>1</v>
      </c>
      <c r="F85" s="8">
        <f>SUM(F87:F88)</f>
        <v>13440000</v>
      </c>
    </row>
    <row r="86" spans="1:6" ht="15.6" x14ac:dyDescent="0.3">
      <c r="A86" s="9" t="s">
        <v>28</v>
      </c>
      <c r="C86" s="4" t="s">
        <v>2</v>
      </c>
      <c r="D86" s="4" t="s">
        <v>6</v>
      </c>
      <c r="E86" s="4" t="s">
        <v>5</v>
      </c>
      <c r="F86" s="4" t="s">
        <v>4</v>
      </c>
    </row>
    <row r="87" spans="1:6" x14ac:dyDescent="0.3">
      <c r="B87" s="6" t="s">
        <v>1</v>
      </c>
      <c r="C87" s="6">
        <v>80</v>
      </c>
      <c r="D87" s="7">
        <v>30000</v>
      </c>
      <c r="E87" s="6">
        <v>4</v>
      </c>
      <c r="F87" s="7">
        <f>E87*C87*D87</f>
        <v>9600000</v>
      </c>
    </row>
    <row r="88" spans="1:6" x14ac:dyDescent="0.3">
      <c r="B88" s="6" t="s">
        <v>14</v>
      </c>
      <c r="C88" s="6"/>
      <c r="D88" s="6"/>
      <c r="E88" s="6"/>
      <c r="F88" s="7">
        <f>F87*0.4</f>
        <v>3840000</v>
      </c>
    </row>
    <row r="89" spans="1:6" x14ac:dyDescent="0.3">
      <c r="B89" s="4" t="s">
        <v>7</v>
      </c>
      <c r="F89" s="8">
        <f>SUM(F91:F96)</f>
        <v>370000</v>
      </c>
    </row>
    <row r="90" spans="1:6" x14ac:dyDescent="0.3">
      <c r="B90" s="3"/>
      <c r="C90" s="5" t="s">
        <v>23</v>
      </c>
      <c r="D90" s="5"/>
      <c r="E90" s="4" t="s">
        <v>3</v>
      </c>
      <c r="F90" s="4" t="s">
        <v>4</v>
      </c>
    </row>
    <row r="91" spans="1:6" x14ac:dyDescent="0.3">
      <c r="B91" s="15" t="s">
        <v>8</v>
      </c>
      <c r="C91" s="17">
        <v>180000</v>
      </c>
      <c r="D91" s="13"/>
      <c r="E91" s="13">
        <v>1</v>
      </c>
      <c r="F91" s="7">
        <f>E91*C91</f>
        <v>180000</v>
      </c>
    </row>
    <row r="92" spans="1:6" x14ac:dyDescent="0.3">
      <c r="B92" s="15" t="s">
        <v>9</v>
      </c>
      <c r="C92" s="17">
        <v>150000</v>
      </c>
      <c r="D92" s="16"/>
      <c r="E92" s="13">
        <v>1</v>
      </c>
      <c r="F92" s="7">
        <f t="shared" ref="F92:F96" si="13">E92*C92</f>
        <v>150000</v>
      </c>
    </row>
    <row r="93" spans="1:6" x14ac:dyDescent="0.3">
      <c r="B93" s="15" t="s">
        <v>10</v>
      </c>
      <c r="C93" s="17">
        <v>40000</v>
      </c>
      <c r="D93" s="13"/>
      <c r="E93" s="13">
        <v>1</v>
      </c>
      <c r="F93" s="7">
        <f t="shared" si="13"/>
        <v>40000</v>
      </c>
    </row>
    <row r="94" spans="1:6" x14ac:dyDescent="0.3">
      <c r="B94" s="15" t="s">
        <v>11</v>
      </c>
      <c r="C94" s="17">
        <v>0</v>
      </c>
      <c r="D94" s="13"/>
      <c r="E94" s="13">
        <v>1</v>
      </c>
      <c r="F94" s="7">
        <f t="shared" si="13"/>
        <v>0</v>
      </c>
    </row>
    <row r="95" spans="1:6" x14ac:dyDescent="0.3">
      <c r="B95" s="15" t="s">
        <v>12</v>
      </c>
      <c r="C95" s="17">
        <v>0</v>
      </c>
      <c r="D95" s="13"/>
      <c r="E95" s="13">
        <v>1</v>
      </c>
      <c r="F95" s="7">
        <f t="shared" si="13"/>
        <v>0</v>
      </c>
    </row>
    <row r="96" spans="1:6" x14ac:dyDescent="0.3">
      <c r="B96" s="15" t="s">
        <v>13</v>
      </c>
      <c r="C96" s="17">
        <v>0</v>
      </c>
      <c r="D96" s="13"/>
      <c r="E96" s="13">
        <v>1</v>
      </c>
      <c r="F96" s="7">
        <f t="shared" si="13"/>
        <v>0</v>
      </c>
    </row>
    <row r="97" spans="1:6" x14ac:dyDescent="0.3">
      <c r="B97" s="4" t="s">
        <v>15</v>
      </c>
      <c r="F97" s="8">
        <f>SUM(F99:F103)</f>
        <v>360000</v>
      </c>
    </row>
    <row r="98" spans="1:6" x14ac:dyDescent="0.3">
      <c r="C98" s="5" t="s">
        <v>23</v>
      </c>
      <c r="D98" s="5"/>
      <c r="E98" s="4" t="s">
        <v>3</v>
      </c>
      <c r="F98" s="4" t="s">
        <v>4</v>
      </c>
    </row>
    <row r="99" spans="1:6" x14ac:dyDescent="0.3">
      <c r="B99" s="15" t="s">
        <v>22</v>
      </c>
      <c r="C99" s="17">
        <v>0</v>
      </c>
      <c r="D99" s="13"/>
      <c r="E99" s="13">
        <v>4</v>
      </c>
      <c r="F99" s="7">
        <f>E99*C99</f>
        <v>0</v>
      </c>
    </row>
    <row r="100" spans="1:6" x14ac:dyDescent="0.3">
      <c r="B100" s="15" t="s">
        <v>16</v>
      </c>
      <c r="C100" s="17">
        <v>0</v>
      </c>
      <c r="D100" s="13"/>
      <c r="E100" s="13">
        <v>4</v>
      </c>
      <c r="F100" s="7">
        <f t="shared" ref="F100:F103" si="14">E100*C100</f>
        <v>0</v>
      </c>
    </row>
    <row r="101" spans="1:6" x14ac:dyDescent="0.3">
      <c r="B101" s="15" t="s">
        <v>17</v>
      </c>
      <c r="C101" s="17">
        <v>0</v>
      </c>
      <c r="D101" s="13"/>
      <c r="E101" s="13">
        <v>4</v>
      </c>
      <c r="F101" s="7">
        <f t="shared" si="14"/>
        <v>0</v>
      </c>
    </row>
    <row r="102" spans="1:6" x14ac:dyDescent="0.3">
      <c r="B102" s="15" t="s">
        <v>20</v>
      </c>
      <c r="C102" s="17">
        <v>90000</v>
      </c>
      <c r="D102" s="13"/>
      <c r="E102" s="13">
        <v>4</v>
      </c>
      <c r="F102" s="7">
        <f t="shared" si="14"/>
        <v>360000</v>
      </c>
    </row>
    <row r="103" spans="1:6" x14ac:dyDescent="0.3">
      <c r="B103" s="15" t="s">
        <v>21</v>
      </c>
      <c r="C103" s="17">
        <v>0</v>
      </c>
      <c r="D103" s="13"/>
      <c r="E103" s="13">
        <v>4</v>
      </c>
      <c r="F103" s="7">
        <f t="shared" si="14"/>
        <v>0</v>
      </c>
    </row>
    <row r="105" spans="1:6" x14ac:dyDescent="0.3">
      <c r="B105" s="11" t="s">
        <v>24</v>
      </c>
      <c r="C105" s="12"/>
      <c r="D105" s="12"/>
      <c r="E105" s="13"/>
      <c r="F105" s="7">
        <f>SUM(F97+F89+F85)</f>
        <v>14170000</v>
      </c>
    </row>
    <row r="106" spans="1:6" x14ac:dyDescent="0.3">
      <c r="B106" s="11" t="s">
        <v>25</v>
      </c>
      <c r="C106" s="12"/>
      <c r="D106" s="12"/>
      <c r="E106" s="13"/>
      <c r="F106" s="7">
        <f>F105*0.15</f>
        <v>2125500</v>
      </c>
    </row>
    <row r="107" spans="1:6" x14ac:dyDescent="0.3">
      <c r="B107" s="14" t="s">
        <v>4</v>
      </c>
      <c r="C107" s="12"/>
      <c r="D107" s="12"/>
      <c r="E107" s="13"/>
      <c r="F107" s="10">
        <f>F106+F105</f>
        <v>16295500</v>
      </c>
    </row>
    <row r="110" spans="1:6" x14ac:dyDescent="0.3">
      <c r="B110" s="4" t="s">
        <v>1</v>
      </c>
      <c r="F110" s="8">
        <f>SUM(F112:F113)</f>
        <v>13440000</v>
      </c>
    </row>
    <row r="111" spans="1:6" ht="15.6" x14ac:dyDescent="0.3">
      <c r="A111" s="9" t="s">
        <v>29</v>
      </c>
      <c r="C111" s="4" t="s">
        <v>2</v>
      </c>
      <c r="D111" s="4" t="s">
        <v>6</v>
      </c>
      <c r="E111" s="4" t="s">
        <v>5</v>
      </c>
      <c r="F111" s="4" t="s">
        <v>4</v>
      </c>
    </row>
    <row r="112" spans="1:6" x14ac:dyDescent="0.3">
      <c r="B112" s="6" t="s">
        <v>1</v>
      </c>
      <c r="C112" s="6">
        <v>80</v>
      </c>
      <c r="D112" s="7">
        <v>30000</v>
      </c>
      <c r="E112" s="6">
        <v>4</v>
      </c>
      <c r="F112" s="7">
        <f>E112*C112*D112</f>
        <v>9600000</v>
      </c>
    </row>
    <row r="113" spans="2:6" x14ac:dyDescent="0.3">
      <c r="B113" s="6" t="s">
        <v>14</v>
      </c>
      <c r="C113" s="6"/>
      <c r="D113" s="6"/>
      <c r="E113" s="6"/>
      <c r="F113" s="7">
        <f>F112*0.4</f>
        <v>3840000</v>
      </c>
    </row>
    <row r="114" spans="2:6" x14ac:dyDescent="0.3">
      <c r="B114" s="4" t="s">
        <v>7</v>
      </c>
      <c r="F114" s="8">
        <f>SUM(F116:F121)</f>
        <v>370000</v>
      </c>
    </row>
    <row r="115" spans="2:6" x14ac:dyDescent="0.3">
      <c r="B115" s="3"/>
      <c r="C115" s="5" t="s">
        <v>23</v>
      </c>
      <c r="D115" s="5"/>
      <c r="E115" s="4" t="s">
        <v>3</v>
      </c>
      <c r="F115" s="4" t="s">
        <v>4</v>
      </c>
    </row>
    <row r="116" spans="2:6" x14ac:dyDescent="0.3">
      <c r="B116" s="15" t="s">
        <v>8</v>
      </c>
      <c r="C116" s="17">
        <v>180000</v>
      </c>
      <c r="D116" s="13"/>
      <c r="E116" s="13">
        <v>1</v>
      </c>
      <c r="F116" s="7">
        <f>E116*C116</f>
        <v>180000</v>
      </c>
    </row>
    <row r="117" spans="2:6" x14ac:dyDescent="0.3">
      <c r="B117" s="15" t="s">
        <v>9</v>
      </c>
      <c r="C117" s="17">
        <v>150000</v>
      </c>
      <c r="D117" s="16"/>
      <c r="E117" s="13">
        <v>1</v>
      </c>
      <c r="F117" s="7">
        <f t="shared" ref="F117:F121" si="15">E117*C117</f>
        <v>150000</v>
      </c>
    </row>
    <row r="118" spans="2:6" x14ac:dyDescent="0.3">
      <c r="B118" s="15" t="s">
        <v>10</v>
      </c>
      <c r="C118" s="17">
        <v>40000</v>
      </c>
      <c r="D118" s="13"/>
      <c r="E118" s="13">
        <v>1</v>
      </c>
      <c r="F118" s="7">
        <f t="shared" si="15"/>
        <v>40000</v>
      </c>
    </row>
    <row r="119" spans="2:6" x14ac:dyDescent="0.3">
      <c r="B119" s="15" t="s">
        <v>11</v>
      </c>
      <c r="C119" s="17">
        <v>0</v>
      </c>
      <c r="D119" s="13"/>
      <c r="E119" s="13">
        <v>1</v>
      </c>
      <c r="F119" s="7">
        <f t="shared" si="15"/>
        <v>0</v>
      </c>
    </row>
    <row r="120" spans="2:6" x14ac:dyDescent="0.3">
      <c r="B120" s="15" t="s">
        <v>12</v>
      </c>
      <c r="C120" s="17">
        <v>0</v>
      </c>
      <c r="D120" s="13"/>
      <c r="E120" s="13">
        <v>1</v>
      </c>
      <c r="F120" s="7">
        <f t="shared" si="15"/>
        <v>0</v>
      </c>
    </row>
    <row r="121" spans="2:6" x14ac:dyDescent="0.3">
      <c r="B121" s="15" t="s">
        <v>13</v>
      </c>
      <c r="C121" s="17">
        <v>0</v>
      </c>
      <c r="D121" s="13"/>
      <c r="E121" s="13">
        <v>1</v>
      </c>
      <c r="F121" s="7">
        <f t="shared" si="15"/>
        <v>0</v>
      </c>
    </row>
    <row r="122" spans="2:6" x14ac:dyDescent="0.3">
      <c r="B122" s="4" t="s">
        <v>15</v>
      </c>
      <c r="F122" s="8">
        <f>SUM(F124:F128)</f>
        <v>360000</v>
      </c>
    </row>
    <row r="123" spans="2:6" x14ac:dyDescent="0.3">
      <c r="C123" s="5" t="s">
        <v>23</v>
      </c>
      <c r="D123" s="5"/>
      <c r="E123" s="4" t="s">
        <v>3</v>
      </c>
      <c r="F123" s="4" t="s">
        <v>4</v>
      </c>
    </row>
    <row r="124" spans="2:6" x14ac:dyDescent="0.3">
      <c r="B124" s="15" t="s">
        <v>22</v>
      </c>
      <c r="C124" s="17">
        <v>0</v>
      </c>
      <c r="D124" s="13"/>
      <c r="E124" s="13">
        <v>4</v>
      </c>
      <c r="F124" s="7">
        <f>E124*C124</f>
        <v>0</v>
      </c>
    </row>
    <row r="125" spans="2:6" x14ac:dyDescent="0.3">
      <c r="B125" s="15" t="s">
        <v>16</v>
      </c>
      <c r="C125" s="17">
        <v>0</v>
      </c>
      <c r="D125" s="13"/>
      <c r="E125" s="13">
        <v>4</v>
      </c>
      <c r="F125" s="7">
        <f t="shared" ref="F125:F128" si="16">E125*C125</f>
        <v>0</v>
      </c>
    </row>
    <row r="126" spans="2:6" x14ac:dyDescent="0.3">
      <c r="B126" s="15" t="s">
        <v>17</v>
      </c>
      <c r="C126" s="17">
        <v>0</v>
      </c>
      <c r="D126" s="13"/>
      <c r="E126" s="13">
        <v>4</v>
      </c>
      <c r="F126" s="7">
        <f t="shared" si="16"/>
        <v>0</v>
      </c>
    </row>
    <row r="127" spans="2:6" x14ac:dyDescent="0.3">
      <c r="B127" s="15" t="s">
        <v>20</v>
      </c>
      <c r="C127" s="17">
        <v>90000</v>
      </c>
      <c r="D127" s="13"/>
      <c r="E127" s="13">
        <v>4</v>
      </c>
      <c r="F127" s="7">
        <f t="shared" si="16"/>
        <v>360000</v>
      </c>
    </row>
    <row r="128" spans="2:6" x14ac:dyDescent="0.3">
      <c r="B128" s="15" t="s">
        <v>21</v>
      </c>
      <c r="C128" s="17">
        <v>0</v>
      </c>
      <c r="D128" s="13"/>
      <c r="E128" s="13">
        <v>4</v>
      </c>
      <c r="F128" s="7">
        <f t="shared" si="16"/>
        <v>0</v>
      </c>
    </row>
    <row r="130" spans="1:6" x14ac:dyDescent="0.3">
      <c r="B130" s="11" t="s">
        <v>24</v>
      </c>
      <c r="C130" s="12"/>
      <c r="D130" s="12"/>
      <c r="E130" s="13"/>
      <c r="F130" s="7">
        <f>SUM(F122+F114+F110)</f>
        <v>14170000</v>
      </c>
    </row>
    <row r="131" spans="1:6" x14ac:dyDescent="0.3">
      <c r="B131" s="11" t="s">
        <v>25</v>
      </c>
      <c r="C131" s="12"/>
      <c r="D131" s="12"/>
      <c r="E131" s="13"/>
      <c r="F131" s="7">
        <f>F130*0.15</f>
        <v>2125500</v>
      </c>
    </row>
    <row r="132" spans="1:6" x14ac:dyDescent="0.3">
      <c r="B132" s="14" t="s">
        <v>4</v>
      </c>
      <c r="C132" s="12"/>
      <c r="D132" s="12"/>
      <c r="E132" s="13"/>
      <c r="F132" s="10">
        <f>F131+F130</f>
        <v>16295500</v>
      </c>
    </row>
    <row r="135" spans="1:6" x14ac:dyDescent="0.3">
      <c r="B135" s="4" t="s">
        <v>1</v>
      </c>
      <c r="F135" s="8">
        <f>SUM(F137:F138)</f>
        <v>13440000</v>
      </c>
    </row>
    <row r="136" spans="1:6" ht="15.6" x14ac:dyDescent="0.3">
      <c r="A136" s="9" t="s">
        <v>30</v>
      </c>
      <c r="C136" s="4" t="s">
        <v>2</v>
      </c>
      <c r="D136" s="4" t="s">
        <v>6</v>
      </c>
      <c r="E136" s="4" t="s">
        <v>5</v>
      </c>
      <c r="F136" s="4" t="s">
        <v>4</v>
      </c>
    </row>
    <row r="137" spans="1:6" x14ac:dyDescent="0.3">
      <c r="B137" s="6" t="s">
        <v>1</v>
      </c>
      <c r="C137" s="6">
        <v>80</v>
      </c>
      <c r="D137" s="7">
        <v>30000</v>
      </c>
      <c r="E137" s="6">
        <v>4</v>
      </c>
      <c r="F137" s="7">
        <f>E137*C137*D137</f>
        <v>9600000</v>
      </c>
    </row>
    <row r="138" spans="1:6" x14ac:dyDescent="0.3">
      <c r="B138" s="6" t="s">
        <v>14</v>
      </c>
      <c r="C138" s="6"/>
      <c r="D138" s="6"/>
      <c r="E138" s="6"/>
      <c r="F138" s="7">
        <f>F137*0.4</f>
        <v>3840000</v>
      </c>
    </row>
    <row r="139" spans="1:6" x14ac:dyDescent="0.3">
      <c r="B139" s="4" t="s">
        <v>7</v>
      </c>
      <c r="F139" s="8">
        <f>SUM(F141:F146)</f>
        <v>370000</v>
      </c>
    </row>
    <row r="140" spans="1:6" x14ac:dyDescent="0.3">
      <c r="B140" s="3"/>
      <c r="C140" s="5" t="s">
        <v>23</v>
      </c>
      <c r="D140" s="5"/>
      <c r="E140" s="4" t="s">
        <v>3</v>
      </c>
      <c r="F140" s="4" t="s">
        <v>4</v>
      </c>
    </row>
    <row r="141" spans="1:6" x14ac:dyDescent="0.3">
      <c r="B141" s="15" t="s">
        <v>8</v>
      </c>
      <c r="C141" s="17">
        <v>180000</v>
      </c>
      <c r="D141" s="13"/>
      <c r="E141" s="13">
        <v>1</v>
      </c>
      <c r="F141" s="7">
        <f>E141*C141</f>
        <v>180000</v>
      </c>
    </row>
    <row r="142" spans="1:6" x14ac:dyDescent="0.3">
      <c r="B142" s="15" t="s">
        <v>9</v>
      </c>
      <c r="C142" s="17">
        <v>150000</v>
      </c>
      <c r="D142" s="16"/>
      <c r="E142" s="13">
        <v>1</v>
      </c>
      <c r="F142" s="7">
        <f t="shared" ref="F142:F146" si="17">E142*C142</f>
        <v>150000</v>
      </c>
    </row>
    <row r="143" spans="1:6" x14ac:dyDescent="0.3">
      <c r="B143" s="15" t="s">
        <v>10</v>
      </c>
      <c r="C143" s="17">
        <v>40000</v>
      </c>
      <c r="D143" s="13"/>
      <c r="E143" s="13">
        <v>1</v>
      </c>
      <c r="F143" s="7">
        <f t="shared" si="17"/>
        <v>40000</v>
      </c>
    </row>
    <row r="144" spans="1:6" x14ac:dyDescent="0.3">
      <c r="B144" s="15" t="s">
        <v>11</v>
      </c>
      <c r="C144" s="17">
        <v>0</v>
      </c>
      <c r="D144" s="13"/>
      <c r="E144" s="13">
        <v>1</v>
      </c>
      <c r="F144" s="7">
        <f t="shared" si="17"/>
        <v>0</v>
      </c>
    </row>
    <row r="145" spans="2:6" x14ac:dyDescent="0.3">
      <c r="B145" s="15" t="s">
        <v>12</v>
      </c>
      <c r="C145" s="17">
        <v>0</v>
      </c>
      <c r="D145" s="13"/>
      <c r="E145" s="13">
        <v>1</v>
      </c>
      <c r="F145" s="7">
        <f t="shared" si="17"/>
        <v>0</v>
      </c>
    </row>
    <row r="146" spans="2:6" x14ac:dyDescent="0.3">
      <c r="B146" s="15" t="s">
        <v>13</v>
      </c>
      <c r="C146" s="17">
        <v>0</v>
      </c>
      <c r="D146" s="13"/>
      <c r="E146" s="13">
        <v>1</v>
      </c>
      <c r="F146" s="7">
        <f t="shared" si="17"/>
        <v>0</v>
      </c>
    </row>
    <row r="147" spans="2:6" x14ac:dyDescent="0.3">
      <c r="B147" s="4" t="s">
        <v>15</v>
      </c>
      <c r="F147" s="8">
        <f>SUM(F149:F153)</f>
        <v>360000</v>
      </c>
    </row>
    <row r="148" spans="2:6" x14ac:dyDescent="0.3">
      <c r="C148" s="5" t="s">
        <v>23</v>
      </c>
      <c r="D148" s="5"/>
      <c r="E148" s="4" t="s">
        <v>3</v>
      </c>
      <c r="F148" s="4" t="s">
        <v>4</v>
      </c>
    </row>
    <row r="149" spans="2:6" x14ac:dyDescent="0.3">
      <c r="B149" s="15" t="s">
        <v>22</v>
      </c>
      <c r="C149" s="17">
        <v>0</v>
      </c>
      <c r="D149" s="13"/>
      <c r="E149" s="13">
        <v>4</v>
      </c>
      <c r="F149" s="7">
        <f>E149*C149</f>
        <v>0</v>
      </c>
    </row>
    <row r="150" spans="2:6" x14ac:dyDescent="0.3">
      <c r="B150" s="15" t="s">
        <v>16</v>
      </c>
      <c r="C150" s="17">
        <v>0</v>
      </c>
      <c r="D150" s="13"/>
      <c r="E150" s="13">
        <v>4</v>
      </c>
      <c r="F150" s="7">
        <f t="shared" ref="F150:F153" si="18">E150*C150</f>
        <v>0</v>
      </c>
    </row>
    <row r="151" spans="2:6" x14ac:dyDescent="0.3">
      <c r="B151" s="15" t="s">
        <v>17</v>
      </c>
      <c r="C151" s="17">
        <v>0</v>
      </c>
      <c r="D151" s="13"/>
      <c r="E151" s="13">
        <v>4</v>
      </c>
      <c r="F151" s="7">
        <f t="shared" si="18"/>
        <v>0</v>
      </c>
    </row>
    <row r="152" spans="2:6" x14ac:dyDescent="0.3">
      <c r="B152" s="15" t="s">
        <v>20</v>
      </c>
      <c r="C152" s="17">
        <v>90000</v>
      </c>
      <c r="D152" s="13"/>
      <c r="E152" s="13">
        <v>4</v>
      </c>
      <c r="F152" s="7">
        <f t="shared" si="18"/>
        <v>360000</v>
      </c>
    </row>
    <row r="153" spans="2:6" x14ac:dyDescent="0.3">
      <c r="B153" s="15" t="s">
        <v>21</v>
      </c>
      <c r="C153" s="17">
        <v>0</v>
      </c>
      <c r="D153" s="13"/>
      <c r="E153" s="13">
        <v>4</v>
      </c>
      <c r="F153" s="7">
        <f t="shared" si="18"/>
        <v>0</v>
      </c>
    </row>
    <row r="155" spans="2:6" x14ac:dyDescent="0.3">
      <c r="B155" s="11" t="s">
        <v>24</v>
      </c>
      <c r="C155" s="12"/>
      <c r="D155" s="12"/>
      <c r="E155" s="13"/>
      <c r="F155" s="7">
        <f>SUM(F147+F139+F135)</f>
        <v>14170000</v>
      </c>
    </row>
    <row r="156" spans="2:6" x14ac:dyDescent="0.3">
      <c r="B156" s="11" t="s">
        <v>25</v>
      </c>
      <c r="C156" s="12"/>
      <c r="D156" s="12"/>
      <c r="E156" s="13"/>
      <c r="F156" s="7">
        <f>F155*0.15</f>
        <v>2125500</v>
      </c>
    </row>
    <row r="157" spans="2:6" x14ac:dyDescent="0.3">
      <c r="B157" s="14" t="s">
        <v>4</v>
      </c>
      <c r="C157" s="12"/>
      <c r="D157" s="12"/>
      <c r="E157" s="13"/>
      <c r="F157" s="10">
        <f>F156+F155</f>
        <v>16295500</v>
      </c>
    </row>
    <row r="160" spans="2:6" x14ac:dyDescent="0.3">
      <c r="B160" s="4" t="s">
        <v>1</v>
      </c>
      <c r="F160" s="8">
        <f>SUM(F162:F163)</f>
        <v>13440000</v>
      </c>
    </row>
    <row r="161" spans="1:6" ht="15.6" x14ac:dyDescent="0.3">
      <c r="A161" s="9" t="s">
        <v>31</v>
      </c>
      <c r="C161" s="4" t="s">
        <v>2</v>
      </c>
      <c r="D161" s="4" t="s">
        <v>6</v>
      </c>
      <c r="E161" s="4" t="s">
        <v>5</v>
      </c>
      <c r="F161" s="4" t="s">
        <v>4</v>
      </c>
    </row>
    <row r="162" spans="1:6" x14ac:dyDescent="0.3">
      <c r="B162" s="6" t="s">
        <v>1</v>
      </c>
      <c r="C162" s="6">
        <v>80</v>
      </c>
      <c r="D162" s="7">
        <v>30000</v>
      </c>
      <c r="E162" s="6">
        <v>4</v>
      </c>
      <c r="F162" s="7">
        <f>E162*C162*D162</f>
        <v>9600000</v>
      </c>
    </row>
    <row r="163" spans="1:6" x14ac:dyDescent="0.3">
      <c r="B163" s="6" t="s">
        <v>14</v>
      </c>
      <c r="C163" s="6"/>
      <c r="D163" s="6"/>
      <c r="E163" s="6"/>
      <c r="F163" s="7">
        <f>F162*0.4</f>
        <v>3840000</v>
      </c>
    </row>
    <row r="164" spans="1:6" x14ac:dyDescent="0.3">
      <c r="B164" s="4" t="s">
        <v>7</v>
      </c>
      <c r="F164" s="8">
        <f>SUM(F166:F171)</f>
        <v>415000</v>
      </c>
    </row>
    <row r="165" spans="1:6" x14ac:dyDescent="0.3">
      <c r="B165" s="3"/>
      <c r="C165" s="5" t="s">
        <v>23</v>
      </c>
      <c r="D165" s="5"/>
      <c r="E165" s="4" t="s">
        <v>3</v>
      </c>
      <c r="F165" s="4" t="s">
        <v>4</v>
      </c>
    </row>
    <row r="166" spans="1:6" x14ac:dyDescent="0.3">
      <c r="B166" s="15" t="s">
        <v>8</v>
      </c>
      <c r="C166" s="17">
        <v>180000</v>
      </c>
      <c r="D166" s="13"/>
      <c r="E166" s="13">
        <v>1</v>
      </c>
      <c r="F166" s="7">
        <f>E166*C166</f>
        <v>180000</v>
      </c>
    </row>
    <row r="167" spans="1:6" x14ac:dyDescent="0.3">
      <c r="B167" s="15" t="s">
        <v>9</v>
      </c>
      <c r="C167" s="17">
        <v>150000</v>
      </c>
      <c r="D167" s="16"/>
      <c r="E167" s="13">
        <v>1</v>
      </c>
      <c r="F167" s="7">
        <f t="shared" ref="F167:F171" si="19">E167*C167</f>
        <v>150000</v>
      </c>
    </row>
    <row r="168" spans="1:6" x14ac:dyDescent="0.3">
      <c r="B168" s="15" t="s">
        <v>10</v>
      </c>
      <c r="C168" s="17">
        <v>40000</v>
      </c>
      <c r="D168" s="13"/>
      <c r="E168" s="13">
        <v>1</v>
      </c>
      <c r="F168" s="7">
        <f t="shared" si="19"/>
        <v>40000</v>
      </c>
    </row>
    <row r="169" spans="1:6" x14ac:dyDescent="0.3">
      <c r="B169" s="15" t="s">
        <v>11</v>
      </c>
      <c r="C169" s="17">
        <v>45000</v>
      </c>
      <c r="D169" s="13"/>
      <c r="E169" s="13">
        <v>1</v>
      </c>
      <c r="F169" s="7">
        <f t="shared" si="19"/>
        <v>45000</v>
      </c>
    </row>
    <row r="170" spans="1:6" x14ac:dyDescent="0.3">
      <c r="B170" s="15" t="s">
        <v>12</v>
      </c>
      <c r="C170" s="17">
        <v>0</v>
      </c>
      <c r="D170" s="13"/>
      <c r="E170" s="13">
        <v>1</v>
      </c>
      <c r="F170" s="7">
        <f t="shared" si="19"/>
        <v>0</v>
      </c>
    </row>
    <row r="171" spans="1:6" x14ac:dyDescent="0.3">
      <c r="B171" s="15" t="s">
        <v>13</v>
      </c>
      <c r="C171" s="17">
        <v>0</v>
      </c>
      <c r="D171" s="13"/>
      <c r="E171" s="13">
        <v>1</v>
      </c>
      <c r="F171" s="7">
        <f t="shared" si="19"/>
        <v>0</v>
      </c>
    </row>
    <row r="172" spans="1:6" x14ac:dyDescent="0.3">
      <c r="B172" s="4" t="s">
        <v>15</v>
      </c>
      <c r="F172" s="8">
        <f>SUM(F174:F178)</f>
        <v>360000</v>
      </c>
    </row>
    <row r="173" spans="1:6" x14ac:dyDescent="0.3">
      <c r="C173" s="5" t="s">
        <v>23</v>
      </c>
      <c r="D173" s="5"/>
      <c r="E173" s="4" t="s">
        <v>3</v>
      </c>
      <c r="F173" s="4" t="s">
        <v>4</v>
      </c>
    </row>
    <row r="174" spans="1:6" x14ac:dyDescent="0.3">
      <c r="B174" s="15" t="s">
        <v>22</v>
      </c>
      <c r="C174" s="17">
        <v>0</v>
      </c>
      <c r="D174" s="13"/>
      <c r="E174" s="13">
        <v>4</v>
      </c>
      <c r="F174" s="7">
        <f>E174*C174</f>
        <v>0</v>
      </c>
    </row>
    <row r="175" spans="1:6" x14ac:dyDescent="0.3">
      <c r="B175" s="15" t="s">
        <v>16</v>
      </c>
      <c r="C175" s="17">
        <v>0</v>
      </c>
      <c r="D175" s="13"/>
      <c r="E175" s="13">
        <v>4</v>
      </c>
      <c r="F175" s="7">
        <f t="shared" ref="F175:F178" si="20">E175*C175</f>
        <v>0</v>
      </c>
    </row>
    <row r="176" spans="1:6" x14ac:dyDescent="0.3">
      <c r="B176" s="15" t="s">
        <v>17</v>
      </c>
      <c r="C176" s="17">
        <v>0</v>
      </c>
      <c r="D176" s="13"/>
      <c r="E176" s="13">
        <v>4</v>
      </c>
      <c r="F176" s="7">
        <f t="shared" si="20"/>
        <v>0</v>
      </c>
    </row>
    <row r="177" spans="1:6" x14ac:dyDescent="0.3">
      <c r="B177" s="15" t="s">
        <v>20</v>
      </c>
      <c r="C177" s="17">
        <v>90000</v>
      </c>
      <c r="D177" s="13"/>
      <c r="E177" s="13">
        <v>4</v>
      </c>
      <c r="F177" s="7">
        <f t="shared" si="20"/>
        <v>360000</v>
      </c>
    </row>
    <row r="178" spans="1:6" x14ac:dyDescent="0.3">
      <c r="B178" s="15" t="s">
        <v>21</v>
      </c>
      <c r="C178" s="17">
        <v>0</v>
      </c>
      <c r="D178" s="13"/>
      <c r="E178" s="13">
        <v>4</v>
      </c>
      <c r="F178" s="7">
        <f t="shared" si="20"/>
        <v>0</v>
      </c>
    </row>
    <row r="180" spans="1:6" x14ac:dyDescent="0.3">
      <c r="B180" s="11" t="s">
        <v>24</v>
      </c>
      <c r="C180" s="12"/>
      <c r="D180" s="12"/>
      <c r="E180" s="13"/>
      <c r="F180" s="7">
        <f>SUM(F172+F164+F160)</f>
        <v>14215000</v>
      </c>
    </row>
    <row r="181" spans="1:6" x14ac:dyDescent="0.3">
      <c r="B181" s="11" t="s">
        <v>25</v>
      </c>
      <c r="C181" s="12"/>
      <c r="D181" s="12"/>
      <c r="E181" s="13"/>
      <c r="F181" s="7">
        <f>F180*0.15</f>
        <v>2132250</v>
      </c>
    </row>
    <row r="182" spans="1:6" x14ac:dyDescent="0.3">
      <c r="B182" s="14" t="s">
        <v>4</v>
      </c>
      <c r="C182" s="12"/>
      <c r="D182" s="12"/>
      <c r="E182" s="13"/>
      <c r="F182" s="10">
        <f>F181+F180</f>
        <v>16347250</v>
      </c>
    </row>
    <row r="186" spans="1:6" x14ac:dyDescent="0.3">
      <c r="B186" s="4" t="s">
        <v>1</v>
      </c>
      <c r="F186" s="8">
        <f>SUM(F188:F189)</f>
        <v>13440000</v>
      </c>
    </row>
    <row r="187" spans="1:6" ht="15.6" x14ac:dyDescent="0.3">
      <c r="A187" s="9" t="s">
        <v>32</v>
      </c>
      <c r="C187" s="4" t="s">
        <v>2</v>
      </c>
      <c r="D187" s="4" t="s">
        <v>6</v>
      </c>
      <c r="E187" s="4" t="s">
        <v>5</v>
      </c>
      <c r="F187" s="4" t="s">
        <v>4</v>
      </c>
    </row>
    <row r="188" spans="1:6" x14ac:dyDescent="0.3">
      <c r="B188" s="6" t="s">
        <v>1</v>
      </c>
      <c r="C188" s="6">
        <v>80</v>
      </c>
      <c r="D188" s="7">
        <v>30000</v>
      </c>
      <c r="E188" s="6">
        <v>4</v>
      </c>
      <c r="F188" s="7">
        <f>E188*C188*D188</f>
        <v>9600000</v>
      </c>
    </row>
    <row r="189" spans="1:6" x14ac:dyDescent="0.3">
      <c r="B189" s="6" t="s">
        <v>14</v>
      </c>
      <c r="C189" s="6"/>
      <c r="D189" s="6"/>
      <c r="E189" s="6"/>
      <c r="F189" s="7">
        <f>F188*0.4</f>
        <v>3840000</v>
      </c>
    </row>
    <row r="190" spans="1:6" x14ac:dyDescent="0.3">
      <c r="B190" s="4" t="s">
        <v>7</v>
      </c>
      <c r="F190" s="8">
        <f>SUM(F192:F197)</f>
        <v>415000</v>
      </c>
    </row>
    <row r="191" spans="1:6" x14ac:dyDescent="0.3">
      <c r="B191" s="3"/>
      <c r="C191" s="5" t="s">
        <v>23</v>
      </c>
      <c r="D191" s="5"/>
      <c r="E191" s="4" t="s">
        <v>3</v>
      </c>
      <c r="F191" s="4" t="s">
        <v>4</v>
      </c>
    </row>
    <row r="192" spans="1:6" x14ac:dyDescent="0.3">
      <c r="B192" s="15" t="s">
        <v>8</v>
      </c>
      <c r="C192" s="17">
        <v>180000</v>
      </c>
      <c r="D192" s="13"/>
      <c r="E192" s="13">
        <v>1</v>
      </c>
      <c r="F192" s="7">
        <f>E192*C192</f>
        <v>180000</v>
      </c>
    </row>
    <row r="193" spans="2:6" x14ac:dyDescent="0.3">
      <c r="B193" s="15" t="s">
        <v>9</v>
      </c>
      <c r="C193" s="17">
        <v>150000</v>
      </c>
      <c r="D193" s="16"/>
      <c r="E193" s="13">
        <v>1</v>
      </c>
      <c r="F193" s="7">
        <f t="shared" ref="F193:F197" si="21">E193*C193</f>
        <v>150000</v>
      </c>
    </row>
    <row r="194" spans="2:6" x14ac:dyDescent="0.3">
      <c r="B194" s="15" t="s">
        <v>10</v>
      </c>
      <c r="C194" s="17">
        <v>40000</v>
      </c>
      <c r="D194" s="13"/>
      <c r="E194" s="13">
        <v>1</v>
      </c>
      <c r="F194" s="7">
        <f t="shared" si="21"/>
        <v>40000</v>
      </c>
    </row>
    <row r="195" spans="2:6" x14ac:dyDescent="0.3">
      <c r="B195" s="15" t="s">
        <v>11</v>
      </c>
      <c r="C195" s="17">
        <v>45000</v>
      </c>
      <c r="D195" s="13"/>
      <c r="E195" s="13">
        <v>1</v>
      </c>
      <c r="F195" s="7">
        <f t="shared" si="21"/>
        <v>45000</v>
      </c>
    </row>
    <row r="196" spans="2:6" x14ac:dyDescent="0.3">
      <c r="B196" s="15" t="s">
        <v>12</v>
      </c>
      <c r="C196" s="17">
        <v>0</v>
      </c>
      <c r="D196" s="13"/>
      <c r="E196" s="13">
        <v>1</v>
      </c>
      <c r="F196" s="7">
        <f t="shared" si="21"/>
        <v>0</v>
      </c>
    </row>
    <row r="197" spans="2:6" x14ac:dyDescent="0.3">
      <c r="B197" s="15" t="s">
        <v>13</v>
      </c>
      <c r="C197" s="17">
        <v>0</v>
      </c>
      <c r="D197" s="13"/>
      <c r="E197" s="13">
        <v>1</v>
      </c>
      <c r="F197" s="7">
        <f t="shared" si="21"/>
        <v>0</v>
      </c>
    </row>
    <row r="198" spans="2:6" x14ac:dyDescent="0.3">
      <c r="B198" s="4" t="s">
        <v>15</v>
      </c>
      <c r="F198" s="8">
        <f>SUM(F200:F204)</f>
        <v>360000</v>
      </c>
    </row>
    <row r="199" spans="2:6" x14ac:dyDescent="0.3">
      <c r="C199" s="5" t="s">
        <v>23</v>
      </c>
      <c r="D199" s="5"/>
      <c r="E199" s="4" t="s">
        <v>3</v>
      </c>
      <c r="F199" s="4" t="s">
        <v>4</v>
      </c>
    </row>
    <row r="200" spans="2:6" x14ac:dyDescent="0.3">
      <c r="B200" s="15" t="s">
        <v>22</v>
      </c>
      <c r="C200" s="17">
        <v>0</v>
      </c>
      <c r="D200" s="13"/>
      <c r="E200" s="13">
        <v>4</v>
      </c>
      <c r="F200" s="7">
        <f>E200*C200</f>
        <v>0</v>
      </c>
    </row>
    <row r="201" spans="2:6" x14ac:dyDescent="0.3">
      <c r="B201" s="15" t="s">
        <v>16</v>
      </c>
      <c r="C201" s="17">
        <v>0</v>
      </c>
      <c r="D201" s="13"/>
      <c r="E201" s="13">
        <v>4</v>
      </c>
      <c r="F201" s="7">
        <f t="shared" ref="F201:F204" si="22">E201*C201</f>
        <v>0</v>
      </c>
    </row>
    <row r="202" spans="2:6" x14ac:dyDescent="0.3">
      <c r="B202" s="15" t="s">
        <v>17</v>
      </c>
      <c r="C202" s="17">
        <v>0</v>
      </c>
      <c r="D202" s="13"/>
      <c r="E202" s="13">
        <v>4</v>
      </c>
      <c r="F202" s="7">
        <f t="shared" si="22"/>
        <v>0</v>
      </c>
    </row>
    <row r="203" spans="2:6" x14ac:dyDescent="0.3">
      <c r="B203" s="15" t="s">
        <v>20</v>
      </c>
      <c r="C203" s="17">
        <v>90000</v>
      </c>
      <c r="D203" s="13"/>
      <c r="E203" s="13">
        <v>4</v>
      </c>
      <c r="F203" s="7">
        <f t="shared" si="22"/>
        <v>360000</v>
      </c>
    </row>
    <row r="204" spans="2:6" x14ac:dyDescent="0.3">
      <c r="B204" s="15" t="s">
        <v>21</v>
      </c>
      <c r="C204" s="17">
        <v>0</v>
      </c>
      <c r="D204" s="13"/>
      <c r="E204" s="13">
        <v>4</v>
      </c>
      <c r="F204" s="7">
        <f t="shared" si="22"/>
        <v>0</v>
      </c>
    </row>
    <row r="206" spans="2:6" x14ac:dyDescent="0.3">
      <c r="B206" s="11" t="s">
        <v>24</v>
      </c>
      <c r="C206" s="12"/>
      <c r="D206" s="12"/>
      <c r="E206" s="13"/>
      <c r="F206" s="7">
        <f>SUM(F198+F190+F186)</f>
        <v>14215000</v>
      </c>
    </row>
    <row r="207" spans="2:6" x14ac:dyDescent="0.3">
      <c r="B207" s="11" t="s">
        <v>25</v>
      </c>
      <c r="C207" s="12"/>
      <c r="D207" s="12"/>
      <c r="E207" s="13"/>
      <c r="F207" s="7">
        <f>F206*0.15</f>
        <v>2132250</v>
      </c>
    </row>
    <row r="208" spans="2:6" x14ac:dyDescent="0.3">
      <c r="B208" s="14" t="s">
        <v>4</v>
      </c>
      <c r="C208" s="12"/>
      <c r="D208" s="12"/>
      <c r="E208" s="13"/>
      <c r="F208" s="10">
        <f>F207+F206</f>
        <v>16347250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23CF-D27E-4432-AAF3-DCA5629433B4}">
  <dimension ref="B2:D3"/>
  <sheetViews>
    <sheetView workbookViewId="0">
      <selection activeCell="D3" sqref="D3"/>
    </sheetView>
  </sheetViews>
  <sheetFormatPr baseColWidth="10" defaultRowHeight="14.4" x14ac:dyDescent="0.3"/>
  <cols>
    <col min="2" max="2" width="13.6640625" bestFit="1" customWidth="1"/>
  </cols>
  <sheetData>
    <row r="2" spans="2:4" x14ac:dyDescent="0.3">
      <c r="B2" s="2">
        <v>130835500</v>
      </c>
      <c r="C2" s="2">
        <f>B2/0.7</f>
        <v>186907857.14285716</v>
      </c>
      <c r="D2" s="2">
        <f>C2-B2</f>
        <v>56072357.142857164</v>
      </c>
    </row>
    <row r="3" spans="2:4" x14ac:dyDescent="0.3">
      <c r="D3" s="1">
        <f>D2/C2</f>
        <v>0.3000000000000001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Yaya</dc:creator>
  <cp:lastModifiedBy>Carlos Javier Yaya</cp:lastModifiedBy>
  <dcterms:created xsi:type="dcterms:W3CDTF">2026-06-24T18:43:29Z</dcterms:created>
  <dcterms:modified xsi:type="dcterms:W3CDTF">2026-06-25T00:59:21Z</dcterms:modified>
</cp:coreProperties>
</file>